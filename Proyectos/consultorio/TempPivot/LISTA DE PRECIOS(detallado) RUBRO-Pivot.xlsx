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J:\XSOFTSQL\PROYECTOS\CONSULTORIO\TempPivot\"/>
    </mc:Choice>
  </mc:AlternateContent>
  <xr:revisionPtr revIDLastSave="0" documentId="13_ncr:1_{AFE8665D-0950-4656-9F8A-B6BC943AF312}" xr6:coauthVersionLast="47" xr6:coauthVersionMax="47" xr10:uidLastSave="{00000000-0000-0000-0000-000000000000}"/>
  <bookViews>
    <workbookView xWindow="1230" yWindow="1185" windowWidth="25305" windowHeight="13485" activeTab="2" xr2:uid="{C0BCC714-786B-4145-93AD-A5AA80680896}"/>
  </bookViews>
  <sheets>
    <sheet name="GENERAL" sheetId="1" r:id="rId1"/>
    <sheet name="ECOGRAFIAS GRAL" sheetId="2" r:id="rId2"/>
    <sheet name="ECODOPLEER" sheetId="4" r:id="rId3"/>
  </sheets>
  <definedNames>
    <definedName name="CsrAuxHoja" localSheetId="0">GENERAL!$A$2:$J$97</definedName>
    <definedName name="CsrAuxHoja_1" localSheetId="0">GENERAL!#REF!</definedName>
  </definedNames>
  <calcPr calcId="181029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J2" i="4"/>
  <c r="K2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559EF1-344D-4C02-8C48-AFF3AFA7A5BD}" name="Csrimprimir" type="6" refreshedVersion="8" background="1" saveData="1">
    <textPr prompt="0" codePage="850" sourceFile="J:\XSOFTSQL\PROYECTOS\CONSULTORIO\Csrimprimir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<sst xmlns="http://schemas.openxmlformats.org/spreadsheetml/2006/main" count="279" uniqueCount="124">
  <si>
    <t>Código</t>
  </si>
  <si>
    <t>Practica</t>
  </si>
  <si>
    <t>Total</t>
  </si>
  <si>
    <t>Empresa</t>
  </si>
  <si>
    <t>Medico</t>
  </si>
  <si>
    <t>Cód. Turnos</t>
  </si>
  <si>
    <t>ABDOMINAL</t>
  </si>
  <si>
    <t>AORTA ABDOMINAL</t>
  </si>
  <si>
    <t>CEREBRAL</t>
  </si>
  <si>
    <t>ECO PARTES BLANDAS POR HAS</t>
  </si>
  <si>
    <t>ECO TV POR ENDOMETRIOSIS</t>
  </si>
  <si>
    <t>GINECOLOGICA</t>
  </si>
  <si>
    <t>GLA SALIVALES Y PAROTIDA</t>
  </si>
  <si>
    <t>GLANDULAS SUPRARRENALES</t>
  </si>
  <si>
    <t>HEPATO, BILAR, ESPLENICA-TORACICA</t>
  </si>
  <si>
    <t>18*72</t>
  </si>
  <si>
    <t>MAMARIA</t>
  </si>
  <si>
    <t>MAMARIA + AXILA</t>
  </si>
  <si>
    <t>MUSCULOESQUELETICA</t>
  </si>
  <si>
    <t>OBSTETRICA</t>
  </si>
  <si>
    <t>OBSTETRICA GEMELAR</t>
  </si>
  <si>
    <t>PARTES BLANDAS</t>
  </si>
  <si>
    <t>PIE Y/O PARTES BLANDAS CON DOPPLER</t>
  </si>
  <si>
    <t>RENAL</t>
  </si>
  <si>
    <t>RENAL + VESICOPRASTICA</t>
  </si>
  <si>
    <t>TESTICULAR</t>
  </si>
  <si>
    <t>TIROIDES</t>
  </si>
  <si>
    <t>TRANSVAGINAL</t>
  </si>
  <si>
    <t>VESICAL</t>
  </si>
  <si>
    <t>VESICOPROSTATICA</t>
  </si>
  <si>
    <t>DOPPLER OBSTETRICO GEMELAR</t>
  </si>
  <si>
    <t>DOPPLER OBSTETRICO GEMELAR + ECO</t>
  </si>
  <si>
    <t>ECO OBSTETRICA 1║ TRIM + DOPPLER UTERINAS</t>
  </si>
  <si>
    <t>ECOGRAFIA OBSTETRICA GEMELAR</t>
  </si>
  <si>
    <t>OBSTETRICA 5D (24 A 30 SEM)</t>
  </si>
  <si>
    <t>PARTES BLANDAS DOPPER REUMATOLOGICO</t>
  </si>
  <si>
    <t>PARTES BLANDAS DOPPLER</t>
  </si>
  <si>
    <t>SCAN DETALLADO (20 A 23 SEM)</t>
  </si>
  <si>
    <t>SCAN DETALLADO GEMELAR</t>
  </si>
  <si>
    <t>TN + DOPPLER UTERINAS</t>
  </si>
  <si>
    <t>TRANSLUCENCIA NUCAL (12 A 13 SEM)</t>
  </si>
  <si>
    <t>TRANSLUCENCIA NUCAL GEMELAR</t>
  </si>
  <si>
    <t>DIF SCAN DETALLADO (20 A 30 SEM)</t>
  </si>
  <si>
    <t>DIF TRANSLUCENCIA NUCAL (12 A 13 SEM)</t>
  </si>
  <si>
    <t>DIFE OBSTETRICA 5D (24 A 30 SEM)</t>
  </si>
  <si>
    <t>CONSULTA MEDICA</t>
  </si>
  <si>
    <t>ELECTROCARDIOGRAMA</t>
  </si>
  <si>
    <t>ERGOMETRIA</t>
  </si>
  <si>
    <t>HOLTER</t>
  </si>
  <si>
    <t>MAPA - PRESUROMETRIA</t>
  </si>
  <si>
    <t>TRATAMIENTO ESCLEROSANTE</t>
  </si>
  <si>
    <t>34.02.01 RADIOGRAFIA DE CRANEO, CARA, SENOS PARANASALES O CAVUN, PRIMERA EXPOSICION</t>
  </si>
  <si>
    <t>34.02.01-02 RADIOGRAFIA DE CRANEO, CARA, SENOS PARANASALES O CAVUN (2 EXPOSICIONES)</t>
  </si>
  <si>
    <t>34.02.02 POR EXPOSICION SUBSIGUIENTE</t>
  </si>
  <si>
    <t>34.02.09 RADIOGRAFIA DE RAQUIS (COLUMNA) PRIMERA EXPOSICION.</t>
  </si>
  <si>
    <t>34.02.09-10 RADIOGRAFIA DE RAQUIS (COLUMNA)  (2 EXPOSICIONES)</t>
  </si>
  <si>
    <t>34.02.10 POR EXPOSICION SUBSIGUIENTE</t>
  </si>
  <si>
    <t>34.02.11 RADIOGRAFIA DE HOMBRO, HUMERO, PELVIS, CADERA Y FEMUR  (2 EXPOSICIONES)</t>
  </si>
  <si>
    <t>34.02.11 RADIOGRAFIA DE HOMBRO, HUMERO, PELVIS, CADERA Y FEMUR. PRIMERA EXPOSICION</t>
  </si>
  <si>
    <t>34.02.12 POR EXPOSICION SUBSIGUIENTE</t>
  </si>
  <si>
    <t>34.02.13 RADIOGRAFIA DE CODO, ANTEBRAZO, MU╤ECA, MANO, DEDOS, RODILLA, PIERNA, TOBILLO Y PIE, DOS PA</t>
  </si>
  <si>
    <t>34.03.01 RADIOGRAFIA DE TORAX</t>
  </si>
  <si>
    <t>34.03.01-02 RADIOGRAFIA DE TORAX  (2 EXPOSICIONES)</t>
  </si>
  <si>
    <t>34.03.02 POR EXPOSICION SUBSIGUIENTE</t>
  </si>
  <si>
    <t>34.04.21 SIMPLE DE ABDOMEN PRIMERA EXPOSICION</t>
  </si>
  <si>
    <t>34.04.21-22 RADIOGRAFIA ABDOMEN  (2 EXPOSICIONES)</t>
  </si>
  <si>
    <t>34.04.22 POR EXPOSICION SUBSIGUIENTE DE ABDOMEN</t>
  </si>
  <si>
    <t>34.05.01 SIMPLE DE ARBOL URINARIO</t>
  </si>
  <si>
    <t>DENSITOMETRIA 2 REGIONES</t>
  </si>
  <si>
    <t>DENSITOMETRIA ESQUELETO TOTAL</t>
  </si>
  <si>
    <t>MAMOGRAFIA BILATERAL CON PROLONGACION AXILAR</t>
  </si>
  <si>
    <t>MAMOGRAFIA MAGNIFICADA - FOCALIZADA</t>
  </si>
  <si>
    <t>1942-2743</t>
  </si>
  <si>
    <t>MAMOGRAFIA UNILATERAL CON PROLONGACION AXILAR</t>
  </si>
  <si>
    <t>TECNICA DE EKLUND PARA PROTESIS MAMARIAS</t>
  </si>
  <si>
    <t>DIFERENCIAL ECOCARDIO CON STRAIN (SI TIENE OOSS)</t>
  </si>
  <si>
    <t>ECO TV + DOPPLER ENDOMETRIOSIS (SILVINA)</t>
  </si>
  <si>
    <t>ECOCARDIOGRAMA</t>
  </si>
  <si>
    <t>ECOCARDIOGRAMA CON STRAIN</t>
  </si>
  <si>
    <t>ECODOPPLER AORTA ABD Y FEMORALES</t>
  </si>
  <si>
    <t>ECODOPPLER AORTA ABDOMINAL</t>
  </si>
  <si>
    <t>ECODOPPLER ARTERIAL DE MMSS Y MMII UNI</t>
  </si>
  <si>
    <t>ECODOPPLER ARTERIAL MMSS Y MMII BIL</t>
  </si>
  <si>
    <t>ECODOPPLER CAROTIDEO</t>
  </si>
  <si>
    <t>ECODOPPLER CAROTIDEO (SABRI)</t>
  </si>
  <si>
    <t>ECODOPPLER HEPATICO</t>
  </si>
  <si>
    <t>ECODOPPLER MAMARIO</t>
  </si>
  <si>
    <t>ECODOPPLER MAMARIO + ECO</t>
  </si>
  <si>
    <t>ECODOPPLER OBSTETRICO</t>
  </si>
  <si>
    <t>ECODOPPLER OBSTETRICO + ECO</t>
  </si>
  <si>
    <t>ECODOPPLER OBSTETRICO GEMELAR</t>
  </si>
  <si>
    <t>ECODOPPLER OBSTETRICO GEMELAR + ECO</t>
  </si>
  <si>
    <t>ECODOPPLER PERINEAL (SILVINA)</t>
  </si>
  <si>
    <t>ECODOPPLER RENAL</t>
  </si>
  <si>
    <t>ECODOPPLER TESTICULAR + ECO</t>
  </si>
  <si>
    <t>ECODOPPLER TIROIDE</t>
  </si>
  <si>
    <t>ECODOPPLER TIROIDE + ECO</t>
  </si>
  <si>
    <t>ECODOPPLER TV + ECO</t>
  </si>
  <si>
    <t>ECODOPPLER VENOSO DE MMSS Y MMII UNI</t>
  </si>
  <si>
    <t>ECODOPPLER VENOSO MMSS Y MMII BIL</t>
  </si>
  <si>
    <t>PARTES BLANDAS +ECO</t>
  </si>
  <si>
    <t>SERVICIOS VARIOS  0%</t>
  </si>
  <si>
    <t>SERVICIOS VARIOS 10.5%</t>
  </si>
  <si>
    <t>Rango de Fecha</t>
  </si>
  <si>
    <t>Total general</t>
  </si>
  <si>
    <t>Valores</t>
  </si>
  <si>
    <t>Suma de Empresa</t>
  </si>
  <si>
    <t>Suma de Total</t>
  </si>
  <si>
    <t>Suma de Medico</t>
  </si>
  <si>
    <t>(Todas)</t>
  </si>
  <si>
    <t>ECOGAFRIAS GENERALES</t>
  </si>
  <si>
    <t>ECO OBSTETRICAS</t>
  </si>
  <si>
    <t>OBSTETRICA DIFERENCIAL</t>
  </si>
  <si>
    <t>CONSULTAS CARDIOLOGICAS</t>
  </si>
  <si>
    <t>;CONSULTAS CARDIOLOGICAS"</t>
  </si>
  <si>
    <t>FLEBOLOGIA</t>
  </si>
  <si>
    <t>RAYOS</t>
  </si>
  <si>
    <t>MAMO DENSITO</t>
  </si>
  <si>
    <t>ECODOPPLER</t>
  </si>
  <si>
    <t>CONVENIOS</t>
  </si>
  <si>
    <t>SERVICIOS</t>
  </si>
  <si>
    <t>Suma de Total2</t>
  </si>
  <si>
    <t>Suma de Empresa2</t>
  </si>
  <si>
    <t>Suma de Medico2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</si>
</sst>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DAD9D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 applyAlignment="1">
      <alignment wrapText="1"/>
    </xf>
    <xf numFmtId="0" fontId="0" fillId="0" borderId="0" xfId="0" pivotButton="1"/>
    <xf numFmtId="0" fontId="3" fillId="4" borderId="1" xfId="0" applyFont="1" applyFill="1" applyBorder="1"/>
    <xf numFmtId="0" fontId="1" fillId="0" borderId="0" xfId="0" applyFont="1" applyAlignment="1"/>
    <xf numFmtId="4" fontId="1" fillId="0" borderId="0" xfId="0" applyNumberFormat="1" applyFont="1" applyAlignment="1"/>
    <xf numFmtId="0" fontId="0" fillId="0" borderId="0" xfId="0" applyNumberFormat="1"/>
    <xf numFmtId="0" fontId="0" fillId="5" borderId="0" xfId="0" applyFill="1"/>
  </cellXfs>
  <cellStyles count="1">
    <cellStyle name="Normal" xfId="0" builtinId="0"/>
  </cellStyles>
  <dxfs count="1"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" refreshedDate="45698.519195486107" createdVersion="8" refreshedVersion="8" minRefreshableVersion="3" recordCount="97" xr:uid="{046D7F8F-36ED-49A4-95F0-9CEDFA5C06BC}">
  <cacheSource type="worksheet">
    <worksheetSource ref="A1:J1048576" sheet="GENERAL"/>
  </cacheSource>
  <cacheFields count="10">
    <cacheField name="Código" numFmtId="0">
      <sharedItems containsBlank="1" containsMixedTypes="1" containsNumber="1" containsInteger="1" minValue="1" maxValue="97" count="97">
        <n v="1"/>
        <n v="4"/>
        <n v="19"/>
        <n v="22"/>
        <n v="23"/>
        <n v="7"/>
        <n v="18"/>
        <n v="17"/>
        <n v="2"/>
        <n v="9"/>
        <n v="10"/>
        <n v="16"/>
        <n v="11"/>
        <n v="12"/>
        <n v="14"/>
        <n v="21"/>
        <n v="3"/>
        <n v="20"/>
        <n v="15"/>
        <n v="13"/>
        <n v="8"/>
        <n v="5"/>
        <n v="6"/>
        <n v="49"/>
        <n v="48"/>
        <n v="57"/>
        <n v="50"/>
        <n v="51"/>
        <n v="58"/>
        <n v="59"/>
        <n v="54"/>
        <n v="55"/>
        <n v="56"/>
        <n v="52"/>
        <n v="53"/>
        <n v="62"/>
        <n v="61"/>
        <n v="60"/>
        <n v="63"/>
        <n v="64"/>
        <s v=";CONSULTAS CARDIOLOGICAS&quot;"/>
        <n v="65"/>
        <n v="66"/>
        <n v="67"/>
        <n v="68"/>
        <n v="69"/>
        <n v="81"/>
        <n v="70"/>
        <n v="71"/>
        <n v="82"/>
        <n v="72"/>
        <n v="83"/>
        <n v="73"/>
        <n v="74"/>
        <n v="75"/>
        <n v="76"/>
        <n v="84"/>
        <n v="77"/>
        <n v="78"/>
        <n v="85"/>
        <n v="79"/>
        <n v="80"/>
        <n v="90"/>
        <n v="91"/>
        <n v="86"/>
        <n v="88"/>
        <n v="87"/>
        <n v="89"/>
        <n v="28"/>
        <n v="47"/>
        <n v="26"/>
        <n v="27"/>
        <n v="42"/>
        <n v="39"/>
        <n v="31"/>
        <n v="32"/>
        <n v="24"/>
        <n v="25"/>
        <n v="30"/>
        <n v="43"/>
        <n v="44"/>
        <n v="36"/>
        <n v="35"/>
        <n v="38"/>
        <n v="37"/>
        <n v="93"/>
        <n v="29"/>
        <n v="40"/>
        <n v="92"/>
        <n v="41"/>
        <n v="46"/>
        <n v="33"/>
        <n v="34"/>
        <n v="45"/>
        <n v="96"/>
        <n v="97"/>
        <m/>
      </sharedItems>
    </cacheField>
    <cacheField name="Practica" numFmtId="0">
      <sharedItems containsBlank="1" count="96">
        <s v="ABDOMINAL"/>
        <s v="AORTA ABDOMINAL"/>
        <s v="CEREBRAL"/>
        <s v="ECO PARTES BLANDAS POR HAS"/>
        <s v="ECO TV POR ENDOMETRIOSIS"/>
        <s v="GINECOLOGICA"/>
        <s v="GLA SALIVALES Y PAROTIDA"/>
        <s v="GLANDULAS SUPRARRENALES"/>
        <s v="HEPATO, BILAR, ESPLENICA-TORACICA"/>
        <s v="MAMARIA"/>
        <s v="MAMARIA + AXILA"/>
        <s v="MUSCULOESQUELETICA"/>
        <s v="OBSTETRICA"/>
        <s v="OBSTETRICA GEMELAR"/>
        <s v="PARTES BLANDAS"/>
        <s v="PIE Y/O PARTES BLANDAS CON DOPPLER"/>
        <s v="RENAL"/>
        <s v="RENAL + VESICOPRASTICA"/>
        <s v="TESTICULAR"/>
        <s v="TIROIDES"/>
        <s v="TRANSVAGINAL"/>
        <s v="VESICAL"/>
        <s v="VESICOPROSTATICA"/>
        <s v="DOPPLER OBSTETRICO GEMELAR"/>
        <s v="DOPPLER OBSTETRICO GEMELAR + ECO"/>
        <s v="ECO OBSTETRICA 1║ TRIM + DOPPLER UTERINAS"/>
        <s v="ECOGRAFIA OBSTETRICA GEMELAR"/>
        <s v="OBSTETRICA 5D (24 A 30 SEM)"/>
        <s v="PARTES BLANDAS DOPPER REUMATOLOGICO"/>
        <s v="PARTES BLANDAS DOPPLER"/>
        <s v="SCAN DETALLADO (20 A 23 SEM)"/>
        <s v="SCAN DETALLADO GEMELAR"/>
        <s v="TN + DOPPLER UTERINAS"/>
        <s v="TRANSLUCENCIA NUCAL (12 A 13 SEM)"/>
        <s v="TRANSLUCENCIA NUCAL GEMELAR"/>
        <s v="DIF SCAN DETALLADO (20 A 30 SEM)"/>
        <s v="DIF TRANSLUCENCIA NUCAL (12 A 13 SEM)"/>
        <s v="DIFE OBSTETRICA 5D (24 A 30 SEM)"/>
        <s v="CONSULTA MEDICA"/>
        <s v="ELECTROCARDIOGRAMA"/>
        <m/>
        <s v="ERGOMETRIA"/>
        <s v="HOLTER"/>
        <s v="MAPA - PRESUROMETRIA"/>
        <s v="TRATAMIENTO ESCLEROSANTE"/>
        <s v="34.02.01 RADIOGRAFIA DE CRANEO, CARA, SENOS PARANASALES O CAVUN, PRIMERA EXPOSICION"/>
        <s v="34.02.01-02 RADIOGRAFIA DE CRANEO, CARA, SENOS PARANASALES O CAVUN (2 EXPOSICIONES)"/>
        <s v="34.02.02 POR EXPOSICION SUBSIGUIENTE"/>
        <s v="34.02.09 RADIOGRAFIA DE RAQUIS (COLUMNA) PRIMERA EXPOSICION."/>
        <s v="34.02.09-10 RADIOGRAFIA DE RAQUIS (COLUMNA)  (2 EXPOSICIONES)"/>
        <s v="34.02.10 POR EXPOSICION SUBSIGUIENTE"/>
        <s v="34.02.11 RADIOGRAFIA DE HOMBRO, HUMERO, PELVIS, CADERA Y FEMUR  (2 EXPOSICIONES)"/>
        <s v="34.02.11 RADIOGRAFIA DE HOMBRO, HUMERO, PELVIS, CADERA Y FEMUR. PRIMERA EXPOSICION"/>
        <s v="34.02.12 POR EXPOSICION SUBSIGUIENTE"/>
        <s v="34.02.13 RADIOGRAFIA DE CODO, ANTEBRAZO, MU╤ECA, MANO, DEDOS, RODILLA, PIERNA, TOBILLO Y PIE, DOS PA"/>
        <s v="34.03.01 RADIOGRAFIA DE TORAX"/>
        <s v="34.03.01-02 RADIOGRAFIA DE TORAX  (2 EXPOSICIONES)"/>
        <s v="34.03.02 POR EXPOSICION SUBSIGUIENTE"/>
        <s v="34.04.21 SIMPLE DE ABDOMEN PRIMERA EXPOSICION"/>
        <s v="34.04.21-22 RADIOGRAFIA ABDOMEN  (2 EXPOSICIONES)"/>
        <s v="34.04.22 POR EXPOSICION SUBSIGUIENTE DE ABDOMEN"/>
        <s v="34.05.01 SIMPLE DE ARBOL URINARIO"/>
        <s v="DENSITOMETRIA 2 REGIONES"/>
        <s v="DENSITOMETRIA ESQUELETO TOTAL"/>
        <s v="MAMOGRAFIA BILATERAL CON PROLONGACION AXILAR"/>
        <s v="MAMOGRAFIA MAGNIFICADA - FOCALIZADA"/>
        <s v="MAMOGRAFIA UNILATERAL CON PROLONGACION AXILAR"/>
        <s v="TECNICA DE EKLUND PARA PROTESIS MAMARIAS"/>
        <s v="DIFERENCIAL ECOCARDIO CON STRAIN (SI TIENE OOSS)"/>
        <s v="ECO TV + DOPPLER ENDOMETRIOSIS (SILVINA)"/>
        <s v="ECOCARDIOGRAMA"/>
        <s v="ECOCARDIOGRAMA CON STRAIN"/>
        <s v="ECODOPPLER AORTA ABD Y FEMORALES"/>
        <s v="ECODOPPLER AORTA ABDOMINAL"/>
        <s v="ECODOPPLER ARTERIAL DE MMSS Y MMII UNI"/>
        <s v="ECODOPPLER ARTERIAL MMSS Y MMII BIL"/>
        <s v="ECODOPPLER CAROTIDEO"/>
        <s v="ECODOPPLER CAROTIDEO (SABRI)"/>
        <s v="ECODOPPLER HEPATICO"/>
        <s v="ECODOPPLER MAMARIO"/>
        <s v="ECODOPPLER MAMARIO + ECO"/>
        <s v="ECODOPPLER OBSTETRICO"/>
        <s v="ECODOPPLER OBSTETRICO + ECO"/>
        <s v="ECODOPPLER OBSTETRICO GEMELAR"/>
        <s v="ECODOPPLER OBSTETRICO GEMELAR + ECO"/>
        <s v="ECODOPPLER PERINEAL (SILVINA)"/>
        <s v="ECODOPPLER RENAL"/>
        <s v="ECODOPPLER TESTICULAR + ECO"/>
        <s v="ECODOPPLER TIROIDE"/>
        <s v="ECODOPPLER TIROIDE + ECO"/>
        <s v="ECODOPPLER TV + ECO"/>
        <s v="ECODOPPLER VENOSO DE MMSS Y MMII UNI"/>
        <s v="ECODOPPLER VENOSO MMSS Y MMII BIL"/>
        <s v="PARTES BLANDAS +ECO"/>
        <s v="SERVICIOS VARIOS  0%"/>
        <s v="SERVICIOS VARIOS 10.5%"/>
      </sharedItems>
    </cacheField>
    <cacheField name="Total" numFmtId="4">
      <sharedItems containsString="0" containsBlank="1" containsNumber="1" containsInteger="1" minValue="0" maxValue="550000"/>
    </cacheField>
    <cacheField name="Empresa" numFmtId="4">
      <sharedItems containsString="0" containsBlank="1" containsNumber="1" containsInteger="1" minValue="0" maxValue="120000"/>
    </cacheField>
    <cacheField name="Medico" numFmtId="4">
      <sharedItems containsString="0" containsBlank="1" containsNumber="1" containsInteger="1" minValue="0" maxValue="93000"/>
    </cacheField>
    <cacheField name="Total2" numFmtId="4">
      <sharedItems containsString="0" containsBlank="1" containsNumber="1" containsInteger="1" minValue="0" maxValue="148500"/>
    </cacheField>
    <cacheField name="Empresa2" numFmtId="4">
      <sharedItems containsString="0" containsBlank="1" containsNumber="1" containsInteger="1" minValue="0" maxValue="142800"/>
    </cacheField>
    <cacheField name="Medico2" numFmtId="4">
      <sharedItems containsString="0" containsBlank="1" containsNumber="1" containsInteger="1" minValue="0" maxValue="74500"/>
    </cacheField>
    <cacheField name="Cód. Turnos" numFmtId="0">
      <sharedItems containsBlank="1" containsMixedTypes="1" containsNumber="1" containsInteger="1" minValue="1860" maxValue="7293"/>
    </cacheField>
    <cacheField name="SERVICIOS" numFmtId="0">
      <sharedItems containsBlank="1" count="10">
        <s v="ECOGAFRIAS GENERALES"/>
        <s v="ECO OBSTETRICAS"/>
        <s v="OBSTETRICA DIFERENCIAL"/>
        <s v="CONSULTAS CARDIOLOGICAS"/>
        <m/>
        <s v="FLEBOLOGIA"/>
        <s v="RAYOS"/>
        <s v="MAMO DENSITO"/>
        <s v="ECODOPPLER"/>
        <s v="CONVENI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n v="53000"/>
    <n v="31500"/>
    <n v="17000"/>
    <n v="39000"/>
    <n v="25500"/>
    <n v="13500"/>
    <n v="1871"/>
    <x v="0"/>
  </r>
  <r>
    <x v="1"/>
    <x v="1"/>
    <n v="46000"/>
    <n v="30000"/>
    <n v="16000"/>
    <n v="37000"/>
    <n v="24000"/>
    <n v="13000"/>
    <n v="1875"/>
    <x v="0"/>
  </r>
  <r>
    <x v="2"/>
    <x v="2"/>
    <n v="46000"/>
    <n v="30000"/>
    <n v="16000"/>
    <n v="37000"/>
    <n v="24000"/>
    <n v="13000"/>
    <n v="1864"/>
    <x v="0"/>
  </r>
  <r>
    <x v="3"/>
    <x v="3"/>
    <n v="60000"/>
    <n v="36000"/>
    <n v="24000"/>
    <n v="46500"/>
    <n v="28000"/>
    <n v="18500"/>
    <m/>
    <x v="0"/>
  </r>
  <r>
    <x v="4"/>
    <x v="4"/>
    <n v="46000"/>
    <n v="23000"/>
    <n v="23000"/>
    <n v="37000"/>
    <n v="18500"/>
    <n v="18500"/>
    <m/>
    <x v="0"/>
  </r>
  <r>
    <x v="5"/>
    <x v="5"/>
    <n v="46000"/>
    <n v="30000"/>
    <n v="16000"/>
    <n v="37000"/>
    <n v="24000"/>
    <n v="13000"/>
    <n v="1860"/>
    <x v="0"/>
  </r>
  <r>
    <x v="6"/>
    <x v="6"/>
    <n v="46000"/>
    <n v="30000"/>
    <n v="16000"/>
    <n v="37000"/>
    <n v="24000"/>
    <n v="13000"/>
    <n v="1878"/>
    <x v="0"/>
  </r>
  <r>
    <x v="7"/>
    <x v="7"/>
    <n v="46000"/>
    <n v="30000"/>
    <n v="16000"/>
    <n v="37000"/>
    <n v="24000"/>
    <n v="13000"/>
    <n v="1876"/>
    <x v="0"/>
  </r>
  <r>
    <x v="8"/>
    <x v="8"/>
    <n v="46000"/>
    <n v="30000"/>
    <n v="16000"/>
    <n v="37000"/>
    <n v="24000"/>
    <n v="13000"/>
    <s v="18*72"/>
    <x v="0"/>
  </r>
  <r>
    <x v="9"/>
    <x v="9"/>
    <n v="46000"/>
    <n v="30000"/>
    <n v="16000"/>
    <n v="37000"/>
    <n v="24000"/>
    <n v="13000"/>
    <n v="1863"/>
    <x v="0"/>
  </r>
  <r>
    <x v="10"/>
    <x v="10"/>
    <n v="68500"/>
    <n v="44500"/>
    <n v="24000"/>
    <n v="53000"/>
    <n v="34500"/>
    <n v="18500"/>
    <n v="2432"/>
    <x v="0"/>
  </r>
  <r>
    <x v="11"/>
    <x v="11"/>
    <n v="46000"/>
    <n v="30000"/>
    <n v="16000"/>
    <n v="37000"/>
    <n v="24000"/>
    <n v="13000"/>
    <n v="1889"/>
    <x v="0"/>
  </r>
  <r>
    <x v="12"/>
    <x v="12"/>
    <n v="46000"/>
    <n v="30000"/>
    <n v="16000"/>
    <n v="37000"/>
    <n v="24000"/>
    <n v="13000"/>
    <n v="1861"/>
    <x v="0"/>
  </r>
  <r>
    <x v="13"/>
    <x v="13"/>
    <n v="74500"/>
    <n v="48500"/>
    <n v="26000"/>
    <n v="57500"/>
    <n v="37500"/>
    <n v="20000"/>
    <n v="1903"/>
    <x v="0"/>
  </r>
  <r>
    <x v="14"/>
    <x v="14"/>
    <n v="46000"/>
    <n v="30000"/>
    <n v="16000"/>
    <n v="37000"/>
    <n v="24000"/>
    <n v="13000"/>
    <n v="1881"/>
    <x v="0"/>
  </r>
  <r>
    <x v="15"/>
    <x v="15"/>
    <n v="69000"/>
    <n v="45000"/>
    <n v="24000"/>
    <n v="55000"/>
    <n v="19000"/>
    <n v="36000"/>
    <m/>
    <x v="0"/>
  </r>
  <r>
    <x v="16"/>
    <x v="16"/>
    <n v="46000"/>
    <n v="30000"/>
    <n v="16000"/>
    <n v="37000"/>
    <n v="24000"/>
    <n v="13000"/>
    <n v="1874"/>
    <x v="0"/>
  </r>
  <r>
    <x v="17"/>
    <x v="17"/>
    <n v="74000"/>
    <n v="48000"/>
    <n v="26000"/>
    <n v="57500"/>
    <n v="55500"/>
    <n v="2000"/>
    <m/>
    <x v="0"/>
  </r>
  <r>
    <x v="18"/>
    <x v="18"/>
    <n v="46000"/>
    <n v="30000"/>
    <n v="16000"/>
    <n v="37000"/>
    <n v="24000"/>
    <n v="13000"/>
    <n v="1870"/>
    <x v="0"/>
  </r>
  <r>
    <x v="19"/>
    <x v="19"/>
    <n v="46000"/>
    <n v="30000"/>
    <n v="16000"/>
    <n v="37000"/>
    <n v="24000"/>
    <n v="13000"/>
    <n v="1869"/>
    <x v="0"/>
  </r>
  <r>
    <x v="20"/>
    <x v="20"/>
    <n v="46000"/>
    <n v="30000"/>
    <n v="16000"/>
    <n v="37000"/>
    <n v="24000"/>
    <n v="13000"/>
    <n v="1862"/>
    <x v="0"/>
  </r>
  <r>
    <x v="21"/>
    <x v="21"/>
    <n v="46000"/>
    <n v="30000"/>
    <n v="16000"/>
    <n v="37000"/>
    <n v="24000"/>
    <n v="13000"/>
    <m/>
    <x v="0"/>
  </r>
  <r>
    <x v="22"/>
    <x v="22"/>
    <n v="46000"/>
    <n v="30000"/>
    <n v="16000"/>
    <n v="37000"/>
    <n v="24000"/>
    <n v="13000"/>
    <m/>
    <x v="0"/>
  </r>
  <r>
    <x v="23"/>
    <x v="23"/>
    <n v="117000"/>
    <n v="76000"/>
    <n v="41000"/>
    <n v="93500"/>
    <n v="60500"/>
    <n v="33000"/>
    <m/>
    <x v="1"/>
  </r>
  <r>
    <x v="24"/>
    <x v="24"/>
    <n v="185000"/>
    <n v="120000"/>
    <n v="65000"/>
    <n v="148000"/>
    <n v="96000"/>
    <n v="52000"/>
    <m/>
    <x v="1"/>
  </r>
  <r>
    <x v="25"/>
    <x v="25"/>
    <n v="102000"/>
    <n v="66000"/>
    <n v="36000"/>
    <n v="81500"/>
    <n v="53000"/>
    <n v="28500"/>
    <m/>
    <x v="1"/>
  </r>
  <r>
    <x v="26"/>
    <x v="26"/>
    <n v="75000"/>
    <n v="49000"/>
    <n v="26000"/>
    <n v="60000"/>
    <n v="39000"/>
    <n v="21000"/>
    <m/>
    <x v="1"/>
  </r>
  <r>
    <x v="27"/>
    <x v="27"/>
    <n v="82000"/>
    <n v="41000"/>
    <n v="41000"/>
    <n v="65500"/>
    <n v="32500"/>
    <n v="33000"/>
    <n v="1908"/>
    <x v="1"/>
  </r>
  <r>
    <x v="28"/>
    <x v="28"/>
    <n v="95500"/>
    <n v="62000"/>
    <n v="33500"/>
    <n v="76500"/>
    <n v="49500"/>
    <n v="27000"/>
    <m/>
    <x v="1"/>
  </r>
  <r>
    <x v="29"/>
    <x v="29"/>
    <n v="68500"/>
    <n v="44500"/>
    <n v="24000"/>
    <n v="55000"/>
    <n v="36000"/>
    <n v="19000"/>
    <n v="1891"/>
    <x v="1"/>
  </r>
  <r>
    <x v="30"/>
    <x v="30"/>
    <n v="68000"/>
    <n v="34000"/>
    <n v="34000"/>
    <n v="54500"/>
    <n v="27500"/>
    <n v="27000"/>
    <n v="1906"/>
    <x v="1"/>
  </r>
  <r>
    <x v="31"/>
    <x v="31"/>
    <n v="102000"/>
    <n v="51000"/>
    <n v="51000"/>
    <n v="81500"/>
    <n v="40500"/>
    <n v="41000"/>
    <n v="1907"/>
    <x v="1"/>
  </r>
  <r>
    <x v="32"/>
    <x v="32"/>
    <n v="102000"/>
    <n v="51000"/>
    <n v="51000"/>
    <n v="81500"/>
    <n v="40500"/>
    <n v="41000"/>
    <m/>
    <x v="1"/>
  </r>
  <r>
    <x v="33"/>
    <x v="33"/>
    <n v="68000"/>
    <n v="34000"/>
    <n v="34000"/>
    <n v="54500"/>
    <n v="27500"/>
    <n v="27000"/>
    <m/>
    <x v="1"/>
  </r>
  <r>
    <x v="34"/>
    <x v="34"/>
    <n v="102000"/>
    <n v="51000"/>
    <n v="51000"/>
    <n v="81500"/>
    <n v="40500"/>
    <n v="41000"/>
    <m/>
    <x v="1"/>
  </r>
  <r>
    <x v="35"/>
    <x v="35"/>
    <n v="34000"/>
    <n v="17000"/>
    <n v="17000"/>
    <n v="0"/>
    <n v="0"/>
    <n v="0"/>
    <m/>
    <x v="2"/>
  </r>
  <r>
    <x v="36"/>
    <x v="36"/>
    <n v="34000"/>
    <n v="17000"/>
    <n v="17000"/>
    <n v="0"/>
    <n v="0"/>
    <n v="0"/>
    <n v="1904"/>
    <x v="2"/>
  </r>
  <r>
    <x v="37"/>
    <x v="37"/>
    <n v="41000"/>
    <n v="20500"/>
    <n v="20500"/>
    <n v="0"/>
    <n v="0"/>
    <n v="0"/>
    <n v="1908"/>
    <x v="2"/>
  </r>
  <r>
    <x v="38"/>
    <x v="38"/>
    <n v="23000"/>
    <n v="0"/>
    <n v="23000"/>
    <n v="23000"/>
    <n v="0"/>
    <n v="23000"/>
    <n v="1892"/>
    <x v="3"/>
  </r>
  <r>
    <x v="39"/>
    <x v="39"/>
    <n v="9000"/>
    <n v="0"/>
    <n v="9000"/>
    <n v="7500"/>
    <n v="0"/>
    <n v="7500"/>
    <n v="1893"/>
    <x v="4"/>
  </r>
  <r>
    <x v="40"/>
    <x v="40"/>
    <m/>
    <m/>
    <m/>
    <m/>
    <m/>
    <m/>
    <m/>
    <x v="4"/>
  </r>
  <r>
    <x v="41"/>
    <x v="41"/>
    <n v="60000"/>
    <n v="60000"/>
    <n v="0"/>
    <n v="48000"/>
    <n v="48000"/>
    <n v="0"/>
    <n v="1894"/>
    <x v="3"/>
  </r>
  <r>
    <x v="42"/>
    <x v="42"/>
    <n v="45000"/>
    <n v="45000"/>
    <n v="0"/>
    <n v="36000"/>
    <n v="36000"/>
    <n v="0"/>
    <n v="1895"/>
    <x v="3"/>
  </r>
  <r>
    <x v="43"/>
    <x v="43"/>
    <n v="45000"/>
    <n v="45000"/>
    <n v="0"/>
    <n v="36000"/>
    <n v="36000"/>
    <n v="0"/>
    <n v="1896"/>
    <x v="3"/>
  </r>
  <r>
    <x v="44"/>
    <x v="44"/>
    <n v="48000"/>
    <n v="48000"/>
    <n v="0"/>
    <n v="48000"/>
    <n v="48000"/>
    <n v="0"/>
    <m/>
    <x v="5"/>
  </r>
  <r>
    <x v="45"/>
    <x v="45"/>
    <n v="25000"/>
    <n v="25000"/>
    <n v="0"/>
    <n v="20000"/>
    <n v="20000"/>
    <n v="0"/>
    <n v="1948"/>
    <x v="6"/>
  </r>
  <r>
    <x v="46"/>
    <x v="46"/>
    <n v="42000"/>
    <n v="42000"/>
    <n v="0"/>
    <n v="33500"/>
    <n v="33500"/>
    <n v="0"/>
    <n v="2429"/>
    <x v="6"/>
  </r>
  <r>
    <x v="47"/>
    <x v="47"/>
    <n v="17000"/>
    <n v="17000"/>
    <n v="0"/>
    <n v="13500"/>
    <n v="13500"/>
    <n v="0"/>
    <m/>
    <x v="6"/>
  </r>
  <r>
    <x v="48"/>
    <x v="48"/>
    <n v="28500"/>
    <n v="28500"/>
    <n v="0"/>
    <n v="23000"/>
    <n v="23000"/>
    <n v="0"/>
    <n v="1949"/>
    <x v="6"/>
  </r>
  <r>
    <x v="49"/>
    <x v="49"/>
    <n v="48000"/>
    <n v="48000"/>
    <n v="0"/>
    <n v="38500"/>
    <n v="38500"/>
    <n v="0"/>
    <n v="1956"/>
    <x v="6"/>
  </r>
  <r>
    <x v="50"/>
    <x v="50"/>
    <n v="19500"/>
    <n v="19500"/>
    <n v="0"/>
    <n v="15500"/>
    <n v="15500"/>
    <n v="0"/>
    <m/>
    <x v="6"/>
  </r>
  <r>
    <x v="51"/>
    <x v="51"/>
    <n v="48000"/>
    <n v="48000"/>
    <n v="0"/>
    <n v="38500"/>
    <n v="38500"/>
    <n v="0"/>
    <n v="1957"/>
    <x v="6"/>
  </r>
  <r>
    <x v="52"/>
    <x v="52"/>
    <n v="28500"/>
    <n v="28500"/>
    <n v="0"/>
    <n v="23000"/>
    <n v="23000"/>
    <n v="0"/>
    <n v="1950"/>
    <x v="6"/>
  </r>
  <r>
    <x v="53"/>
    <x v="53"/>
    <n v="19500"/>
    <n v="19500"/>
    <n v="0"/>
    <n v="15500"/>
    <n v="15500"/>
    <n v="0"/>
    <m/>
    <x v="6"/>
  </r>
  <r>
    <x v="54"/>
    <x v="54"/>
    <n v="28500"/>
    <n v="28500"/>
    <n v="0"/>
    <n v="23000"/>
    <n v="23000"/>
    <n v="0"/>
    <n v="2428"/>
    <x v="6"/>
  </r>
  <r>
    <x v="55"/>
    <x v="55"/>
    <n v="25000"/>
    <n v="25000"/>
    <n v="0"/>
    <n v="20000"/>
    <n v="20000"/>
    <n v="0"/>
    <n v="1952"/>
    <x v="6"/>
  </r>
  <r>
    <x v="56"/>
    <x v="56"/>
    <n v="42000"/>
    <n v="42000"/>
    <n v="0"/>
    <n v="33500"/>
    <n v="33500"/>
    <n v="0"/>
    <n v="1958"/>
    <x v="6"/>
  </r>
  <r>
    <x v="57"/>
    <x v="57"/>
    <n v="17000"/>
    <n v="17000"/>
    <n v="0"/>
    <n v="13500"/>
    <n v="13500"/>
    <n v="0"/>
    <m/>
    <x v="6"/>
  </r>
  <r>
    <x v="58"/>
    <x v="58"/>
    <n v="23000"/>
    <n v="23000"/>
    <n v="0"/>
    <n v="18500"/>
    <n v="18500"/>
    <n v="0"/>
    <n v="1953"/>
    <x v="6"/>
  </r>
  <r>
    <x v="59"/>
    <x v="59"/>
    <n v="40000"/>
    <n v="40000"/>
    <n v="0"/>
    <n v="32000"/>
    <n v="32000"/>
    <n v="0"/>
    <n v="1959"/>
    <x v="6"/>
  </r>
  <r>
    <x v="60"/>
    <x v="60"/>
    <n v="17000"/>
    <n v="17000"/>
    <n v="0"/>
    <n v="13500"/>
    <n v="13500"/>
    <n v="0"/>
    <m/>
    <x v="6"/>
  </r>
  <r>
    <x v="61"/>
    <x v="61"/>
    <n v="23500"/>
    <n v="23500"/>
    <n v="0"/>
    <n v="19000"/>
    <n v="19000"/>
    <n v="0"/>
    <n v="1954"/>
    <x v="6"/>
  </r>
  <r>
    <x v="62"/>
    <x v="62"/>
    <n v="40000"/>
    <n v="35500"/>
    <n v="4500"/>
    <n v="32000"/>
    <n v="28500"/>
    <n v="3500"/>
    <n v="1945"/>
    <x v="7"/>
  </r>
  <r>
    <x v="63"/>
    <x v="63"/>
    <n v="54500"/>
    <n v="49000"/>
    <n v="5500"/>
    <n v="43500"/>
    <n v="39000"/>
    <n v="4500"/>
    <n v="1946"/>
    <x v="7"/>
  </r>
  <r>
    <x v="64"/>
    <x v="64"/>
    <n v="67000"/>
    <n v="53500"/>
    <n v="13500"/>
    <n v="53500"/>
    <n v="42500"/>
    <n v="11000"/>
    <n v="1941"/>
    <x v="7"/>
  </r>
  <r>
    <x v="65"/>
    <x v="65"/>
    <n v="51500"/>
    <n v="41000"/>
    <n v="10500"/>
    <n v="41000"/>
    <n v="33000"/>
    <n v="8000"/>
    <s v="1942-2743"/>
    <x v="7"/>
  </r>
  <r>
    <x v="66"/>
    <x v="66"/>
    <n v="54500"/>
    <n v="43500"/>
    <n v="11000"/>
    <n v="43500"/>
    <n v="34500"/>
    <n v="9000"/>
    <n v="1939"/>
    <x v="7"/>
  </r>
  <r>
    <x v="67"/>
    <x v="67"/>
    <n v="26000"/>
    <n v="21000"/>
    <n v="5000"/>
    <n v="21000"/>
    <n v="16500"/>
    <n v="4500"/>
    <n v="1943"/>
    <x v="7"/>
  </r>
  <r>
    <x v="68"/>
    <x v="68"/>
    <n v="550000"/>
    <n v="20500"/>
    <n v="13500"/>
    <n v="26500"/>
    <n v="16000"/>
    <n v="10500"/>
    <m/>
    <x v="8"/>
  </r>
  <r>
    <x v="69"/>
    <x v="69"/>
    <n v="86000"/>
    <n v="43000"/>
    <n v="43000"/>
    <n v="69000"/>
    <n v="34500"/>
    <n v="34500"/>
    <m/>
    <x v="8"/>
  </r>
  <r>
    <x v="70"/>
    <x v="70"/>
    <n v="86000"/>
    <n v="51500"/>
    <n v="34500"/>
    <n v="66500"/>
    <n v="40000"/>
    <n v="26500"/>
    <n v="2876"/>
    <x v="8"/>
  </r>
  <r>
    <x v="71"/>
    <x v="71"/>
    <n v="103000"/>
    <n v="62000"/>
    <n v="41000"/>
    <n v="82500"/>
    <n v="49500"/>
    <n v="33000"/>
    <n v="6459"/>
    <x v="8"/>
  </r>
  <r>
    <x v="72"/>
    <x v="72"/>
    <n v="99000"/>
    <n v="64500"/>
    <n v="34500"/>
    <n v="79000"/>
    <n v="51500"/>
    <n v="27500"/>
    <n v="2142"/>
    <x v="8"/>
  </r>
  <r>
    <x v="73"/>
    <x v="73"/>
    <n v="52000"/>
    <n v="34000"/>
    <n v="18000"/>
    <n v="40500"/>
    <n v="26500"/>
    <n v="14000"/>
    <n v="1888"/>
    <x v="8"/>
  </r>
  <r>
    <x v="74"/>
    <x v="74"/>
    <n v="77000"/>
    <n v="50000"/>
    <n v="27000"/>
    <n v="61500"/>
    <n v="40000"/>
    <n v="21500"/>
    <n v="7292"/>
    <x v="8"/>
  </r>
  <r>
    <x v="75"/>
    <x v="75"/>
    <n v="94000"/>
    <n v="61000"/>
    <n v="33000"/>
    <n v="75000"/>
    <n v="48500"/>
    <n v="26500"/>
    <n v="7293"/>
    <x v="8"/>
  </r>
  <r>
    <x v="76"/>
    <x v="76"/>
    <n v="77000"/>
    <n v="50000"/>
    <n v="27000"/>
    <n v="61500"/>
    <n v="40000"/>
    <n v="21500"/>
    <m/>
    <x v="8"/>
  </r>
  <r>
    <x v="77"/>
    <x v="77"/>
    <n v="77000"/>
    <n v="46000"/>
    <n v="31000"/>
    <n v="61500"/>
    <n v="40000"/>
    <n v="21500"/>
    <m/>
    <x v="8"/>
  </r>
  <r>
    <x v="78"/>
    <x v="78"/>
    <n v="77000"/>
    <n v="50000"/>
    <n v="27000"/>
    <n v="61500"/>
    <n v="40000"/>
    <n v="21500"/>
    <n v="1887"/>
    <x v="8"/>
  </r>
  <r>
    <x v="79"/>
    <x v="79"/>
    <n v="77000"/>
    <n v="50000"/>
    <n v="27000"/>
    <n v="61500"/>
    <n v="40000"/>
    <n v="21500"/>
    <n v="2444"/>
    <x v="8"/>
  </r>
  <r>
    <x v="80"/>
    <x v="80"/>
    <n v="77000"/>
    <n v="50000"/>
    <n v="27000"/>
    <n v="61500"/>
    <n v="40000"/>
    <n v="21500"/>
    <m/>
    <x v="8"/>
  </r>
  <r>
    <x v="81"/>
    <x v="81"/>
    <n v="77000"/>
    <n v="50000"/>
    <n v="27000"/>
    <n v="61500"/>
    <n v="40000"/>
    <n v="21500"/>
    <n v="6321"/>
    <x v="8"/>
  </r>
  <r>
    <x v="82"/>
    <x v="82"/>
    <n v="123000"/>
    <n v="80000"/>
    <n v="43000"/>
    <n v="99000"/>
    <n v="64500"/>
    <n v="34500"/>
    <n v="1866"/>
    <x v="8"/>
  </r>
  <r>
    <x v="83"/>
    <x v="83"/>
    <n v="116000"/>
    <n v="75500"/>
    <n v="40500"/>
    <n v="90500"/>
    <n v="58500"/>
    <n v="32000"/>
    <n v="1867"/>
    <x v="8"/>
  </r>
  <r>
    <x v="84"/>
    <x v="84"/>
    <n v="185000"/>
    <n v="120000"/>
    <n v="65000"/>
    <n v="148000"/>
    <n v="142800"/>
    <n v="5200"/>
    <m/>
    <x v="8"/>
  </r>
  <r>
    <x v="85"/>
    <x v="85"/>
    <n v="185500"/>
    <n v="92500"/>
    <n v="93000"/>
    <n v="148500"/>
    <n v="74000"/>
    <n v="74500"/>
    <m/>
    <x v="8"/>
  </r>
  <r>
    <x v="86"/>
    <x v="86"/>
    <n v="77000"/>
    <n v="50000"/>
    <n v="27000"/>
    <n v="61500"/>
    <n v="40000"/>
    <n v="21500"/>
    <m/>
    <x v="8"/>
  </r>
  <r>
    <x v="87"/>
    <x v="87"/>
    <n v="77000"/>
    <n v="50000"/>
    <n v="27000"/>
    <n v="61500"/>
    <n v="40000"/>
    <n v="21500"/>
    <n v="1882"/>
    <x v="8"/>
  </r>
  <r>
    <x v="88"/>
    <x v="88"/>
    <n v="67000"/>
    <n v="43500"/>
    <n v="23500"/>
    <n v="53500"/>
    <n v="34500"/>
    <n v="19000"/>
    <m/>
    <x v="8"/>
  </r>
  <r>
    <x v="89"/>
    <x v="89"/>
    <n v="77000"/>
    <n v="50000"/>
    <n v="27000"/>
    <n v="61500"/>
    <n v="40000"/>
    <n v="21500"/>
    <n v="1890"/>
    <x v="8"/>
  </r>
  <r>
    <x v="90"/>
    <x v="90"/>
    <n v="86000"/>
    <n v="56000"/>
    <n v="30000"/>
    <n v="69000"/>
    <n v="45000"/>
    <n v="24000"/>
    <m/>
    <x v="8"/>
  </r>
  <r>
    <x v="91"/>
    <x v="91"/>
    <n v="77000"/>
    <n v="50000"/>
    <n v="27000"/>
    <n v="61500"/>
    <n v="40000"/>
    <n v="21500"/>
    <n v="1909"/>
    <x v="8"/>
  </r>
  <r>
    <x v="92"/>
    <x v="92"/>
    <n v="94000"/>
    <n v="61000"/>
    <n v="33000"/>
    <n v="75000"/>
    <n v="48500"/>
    <n v="26500"/>
    <n v="1910"/>
    <x v="8"/>
  </r>
  <r>
    <x v="93"/>
    <x v="93"/>
    <n v="68500"/>
    <n v="44500"/>
    <n v="24000"/>
    <n v="55000"/>
    <n v="35500"/>
    <n v="19500"/>
    <m/>
    <x v="8"/>
  </r>
  <r>
    <x v="94"/>
    <x v="94"/>
    <n v="0"/>
    <n v="0"/>
    <n v="0"/>
    <n v="0"/>
    <n v="0"/>
    <n v="0"/>
    <m/>
    <x v="9"/>
  </r>
  <r>
    <x v="95"/>
    <x v="95"/>
    <n v="0"/>
    <n v="0"/>
    <n v="0"/>
    <n v="0"/>
    <n v="0"/>
    <n v="0"/>
    <m/>
    <x v="9"/>
  </r>
  <r>
    <x v="96"/>
    <x v="40"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72C25-EF1D-4265-8274-55E115FB6ACC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>
  <location ref="A4:G29" firstHeaderRow="1" firstDataRow="2" firstDataCol="1" rowPageCount="2" colPageCount="1"/>
  <pivotFields count="10">
    <pivotField axis="axisPage" compact="0" outline="0" showAll="0">
      <items count="98">
        <item x="0"/>
        <item x="8"/>
        <item x="16"/>
        <item x="1"/>
        <item x="21"/>
        <item x="22"/>
        <item x="5"/>
        <item x="20"/>
        <item x="9"/>
        <item x="10"/>
        <item x="12"/>
        <item x="13"/>
        <item x="19"/>
        <item x="14"/>
        <item x="18"/>
        <item x="11"/>
        <item x="7"/>
        <item x="6"/>
        <item x="2"/>
        <item x="17"/>
        <item x="15"/>
        <item x="3"/>
        <item x="4"/>
        <item x="76"/>
        <item x="77"/>
        <item x="70"/>
        <item x="71"/>
        <item x="68"/>
        <item x="86"/>
        <item x="78"/>
        <item x="74"/>
        <item x="75"/>
        <item x="91"/>
        <item x="92"/>
        <item x="82"/>
        <item x="81"/>
        <item x="84"/>
        <item x="83"/>
        <item x="73"/>
        <item x="87"/>
        <item x="89"/>
        <item x="72"/>
        <item x="79"/>
        <item x="80"/>
        <item x="93"/>
        <item x="90"/>
        <item x="69"/>
        <item x="24"/>
        <item x="23"/>
        <item x="26"/>
        <item x="27"/>
        <item x="33"/>
        <item x="34"/>
        <item x="30"/>
        <item x="31"/>
        <item x="32"/>
        <item x="25"/>
        <item x="28"/>
        <item x="29"/>
        <item x="37"/>
        <item x="36"/>
        <item x="35"/>
        <item x="38"/>
        <item x="39"/>
        <item x="41"/>
        <item x="42"/>
        <item x="43"/>
        <item x="44"/>
        <item x="45"/>
        <item x="47"/>
        <item x="48"/>
        <item x="50"/>
        <item x="52"/>
        <item x="53"/>
        <item x="54"/>
        <item x="55"/>
        <item x="57"/>
        <item x="58"/>
        <item x="60"/>
        <item x="61"/>
        <item x="46"/>
        <item x="49"/>
        <item x="51"/>
        <item x="56"/>
        <item x="59"/>
        <item x="64"/>
        <item x="66"/>
        <item x="65"/>
        <item x="67"/>
        <item x="62"/>
        <item x="63"/>
        <item x="88"/>
        <item x="85"/>
        <item x="94"/>
        <item x="95"/>
        <item x="96"/>
        <item x="40"/>
        <item t="default"/>
      </items>
    </pivotField>
    <pivotField axis="axisRow" compact="0" outline="0" showAll="0">
      <items count="97"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0"/>
        <item x="1"/>
        <item x="2"/>
        <item x="38"/>
        <item x="62"/>
        <item x="63"/>
        <item x="35"/>
        <item x="36"/>
        <item x="37"/>
        <item x="68"/>
        <item x="23"/>
        <item x="24"/>
        <item x="25"/>
        <item x="3"/>
        <item x="69"/>
        <item x="4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26"/>
        <item x="39"/>
        <item x="41"/>
        <item x="5"/>
        <item x="6"/>
        <item x="7"/>
        <item x="8"/>
        <item x="42"/>
        <item x="9"/>
        <item x="10"/>
        <item x="64"/>
        <item x="65"/>
        <item x="66"/>
        <item x="43"/>
        <item x="11"/>
        <item x="12"/>
        <item x="27"/>
        <item x="13"/>
        <item x="14"/>
        <item x="93"/>
        <item x="28"/>
        <item x="29"/>
        <item x="15"/>
        <item x="16"/>
        <item x="17"/>
        <item x="30"/>
        <item x="31"/>
        <item x="94"/>
        <item x="95"/>
        <item x="67"/>
        <item x="18"/>
        <item x="19"/>
        <item x="32"/>
        <item x="33"/>
        <item x="34"/>
        <item x="20"/>
        <item x="44"/>
        <item x="21"/>
        <item x="22"/>
        <item x="4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11">
        <item h="1" x="3"/>
        <item h="1" x="9"/>
        <item h="1" x="1"/>
        <item h="1" x="8"/>
        <item x="0"/>
        <item h="1" x="5"/>
        <item h="1" x="7"/>
        <item h="1" x="2"/>
        <item h="1" x="6"/>
        <item h="1" x="4"/>
        <item t="default"/>
      </items>
    </pivotField>
  </pivotFields>
  <rowFields count="1">
    <field x="1"/>
  </rowFields>
  <rowItems count="24">
    <i>
      <x v="17"/>
    </i>
    <i>
      <x v="18"/>
    </i>
    <i>
      <x v="19"/>
    </i>
    <i>
      <x v="30"/>
    </i>
    <i>
      <x v="32"/>
    </i>
    <i>
      <x v="59"/>
    </i>
    <i>
      <x v="60"/>
    </i>
    <i>
      <x v="61"/>
    </i>
    <i>
      <x v="62"/>
    </i>
    <i>
      <x v="64"/>
    </i>
    <i>
      <x v="65"/>
    </i>
    <i>
      <x v="70"/>
    </i>
    <i>
      <x v="71"/>
    </i>
    <i>
      <x v="73"/>
    </i>
    <i>
      <x v="74"/>
    </i>
    <i>
      <x v="78"/>
    </i>
    <i>
      <x v="79"/>
    </i>
    <i>
      <x v="80"/>
    </i>
    <i>
      <x v="86"/>
    </i>
    <i>
      <x v="87"/>
    </i>
    <i>
      <x v="91"/>
    </i>
    <i>
      <x v="93"/>
    </i>
    <i>
      <x v="9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9" hier="-1"/>
  </pageFields>
  <dataFields count="6">
    <dataField name="Suma de Total" fld="2" baseField="1" baseItem="17"/>
    <dataField name="Suma de Empresa" fld="3" baseField="1" baseItem="17"/>
    <dataField name="Suma de Medico" fld="4" baseField="1" baseItem="17"/>
    <dataField name="Suma de Total2" fld="5" baseField="1" baseItem="17"/>
    <dataField name="Suma de Empresa2" fld="6" baseField="1" baseItem="17"/>
    <dataField name="Suma de Medico2" fld="7" baseField="1" baseItem="17"/>
  </dataFields>
  <formats count="1">
    <format dxfId="0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C6D20-5C7F-409F-A4B9-6A0E2BB16D0F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>
  <location ref="A4:G32" firstHeaderRow="1" firstDataRow="2" firstDataCol="1" rowPageCount="2" colPageCount="1"/>
  <pivotFields count="10">
    <pivotField axis="axisPage" compact="0" outline="0" showAll="0">
      <items count="98">
        <item x="0"/>
        <item x="8"/>
        <item x="16"/>
        <item x="1"/>
        <item x="21"/>
        <item x="22"/>
        <item x="5"/>
        <item x="20"/>
        <item x="9"/>
        <item x="10"/>
        <item x="12"/>
        <item x="13"/>
        <item x="19"/>
        <item x="14"/>
        <item x="18"/>
        <item x="11"/>
        <item x="7"/>
        <item x="6"/>
        <item x="2"/>
        <item x="17"/>
        <item x="15"/>
        <item x="3"/>
        <item x="4"/>
        <item x="76"/>
        <item x="77"/>
        <item x="70"/>
        <item x="71"/>
        <item x="68"/>
        <item x="86"/>
        <item x="78"/>
        <item x="74"/>
        <item x="75"/>
        <item x="91"/>
        <item x="92"/>
        <item x="82"/>
        <item x="81"/>
        <item x="84"/>
        <item x="83"/>
        <item x="73"/>
        <item x="87"/>
        <item x="89"/>
        <item x="72"/>
        <item x="79"/>
        <item x="80"/>
        <item x="93"/>
        <item x="90"/>
        <item x="69"/>
        <item x="24"/>
        <item x="23"/>
        <item x="26"/>
        <item x="27"/>
        <item x="33"/>
        <item x="34"/>
        <item x="30"/>
        <item x="31"/>
        <item x="32"/>
        <item x="25"/>
        <item x="28"/>
        <item x="29"/>
        <item x="37"/>
        <item x="36"/>
        <item x="35"/>
        <item x="38"/>
        <item x="39"/>
        <item x="41"/>
        <item x="42"/>
        <item x="43"/>
        <item x="44"/>
        <item x="45"/>
        <item x="47"/>
        <item x="48"/>
        <item x="50"/>
        <item x="52"/>
        <item x="53"/>
        <item x="54"/>
        <item x="55"/>
        <item x="57"/>
        <item x="58"/>
        <item x="60"/>
        <item x="61"/>
        <item x="46"/>
        <item x="49"/>
        <item x="51"/>
        <item x="56"/>
        <item x="59"/>
        <item x="64"/>
        <item x="66"/>
        <item x="65"/>
        <item x="67"/>
        <item x="62"/>
        <item x="63"/>
        <item x="88"/>
        <item x="85"/>
        <item x="94"/>
        <item x="95"/>
        <item x="96"/>
        <item x="40"/>
        <item t="default"/>
      </items>
    </pivotField>
    <pivotField axis="axisRow" compact="0" outline="0" showAll="0">
      <items count="97"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0"/>
        <item x="1"/>
        <item x="2"/>
        <item x="38"/>
        <item x="62"/>
        <item x="63"/>
        <item x="35"/>
        <item x="36"/>
        <item x="37"/>
        <item x="68"/>
        <item x="23"/>
        <item x="24"/>
        <item x="25"/>
        <item x="3"/>
        <item x="69"/>
        <item x="4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26"/>
        <item x="39"/>
        <item x="41"/>
        <item x="5"/>
        <item x="6"/>
        <item x="7"/>
        <item x="8"/>
        <item x="42"/>
        <item x="9"/>
        <item x="10"/>
        <item x="64"/>
        <item x="65"/>
        <item x="66"/>
        <item x="43"/>
        <item x="11"/>
        <item x="12"/>
        <item x="27"/>
        <item x="13"/>
        <item x="14"/>
        <item x="93"/>
        <item x="28"/>
        <item x="29"/>
        <item x="15"/>
        <item x="16"/>
        <item x="17"/>
        <item x="30"/>
        <item x="31"/>
        <item x="94"/>
        <item x="95"/>
        <item x="67"/>
        <item x="18"/>
        <item x="19"/>
        <item x="32"/>
        <item x="33"/>
        <item x="34"/>
        <item x="20"/>
        <item x="44"/>
        <item x="21"/>
        <item x="22"/>
        <item x="4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11">
        <item h="1" x="3"/>
        <item h="1" x="9"/>
        <item h="1" x="1"/>
        <item x="8"/>
        <item h="1" x="0"/>
        <item h="1" x="5"/>
        <item h="1" x="7"/>
        <item h="1" x="2"/>
        <item h="1" x="6"/>
        <item h="1" x="4"/>
        <item t="default"/>
      </items>
    </pivotField>
  </pivotFields>
  <rowFields count="1">
    <field x="1"/>
  </rowFields>
  <rowItems count="27">
    <i>
      <x v="26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7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9" hier="-1"/>
  </pageFields>
  <dataFields count="6">
    <dataField name="Suma de Total" fld="2" baseField="1" baseItem="17"/>
    <dataField name="Suma de Empresa" fld="3" baseField="1" baseItem="17"/>
    <dataField name="Suma de Medico" fld="4" baseField="1" baseItem="17"/>
    <dataField name="Suma de Total2" fld="5" baseField="1" baseItem="17"/>
    <dataField name="Suma de Empresa2" fld="6" baseField="1" baseItem="17"/>
    <dataField name="Suma de Medico2" fld="7" baseField="1" baseItem="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srAuxHoja" connectionId="1" xr16:uid="{5782DD02-F666-4D08-850A-304A7E79BC4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3F29-087D-4660-8E85-93409A07CB42}">
  <dimension ref="A1:J97"/>
  <sheetViews>
    <sheetView workbookViewId="0">
      <pane ySplit="1" topLeftCell="A35" activePane="bottomLeft" state="frozen"/>
      <selection pane="bottomLeft" activeCell="A42" sqref="A42"/>
    </sheetView>
  </sheetViews>
  <sheetFormatPr baseColWidth="10" defaultRowHeight="15" x14ac:dyDescent="0.25"/>
  <cols>
    <col min="1" max="1" width="23.85546875" style="6" bestFit="1" customWidth="1"/>
    <col min="2" max="2" width="85.42578125" style="6" bestFit="1" customWidth="1"/>
    <col min="3" max="4" width="8.7109375" style="7" bestFit="1" customWidth="1"/>
    <col min="5" max="5" width="7.85546875" style="7" bestFit="1" customWidth="1"/>
    <col min="6" max="7" width="8.7109375" style="7" bestFit="1" customWidth="1"/>
    <col min="8" max="8" width="7.85546875" style="7" bestFit="1" customWidth="1"/>
    <col min="9" max="9" width="10.7109375" style="6" bestFit="1" customWidth="1"/>
    <col min="10" max="10" width="22.85546875" style="6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3</v>
      </c>
      <c r="H1" s="2" t="s">
        <v>4</v>
      </c>
      <c r="I1" s="3" t="s">
        <v>5</v>
      </c>
      <c r="J1" s="5" t="s">
        <v>120</v>
      </c>
    </row>
    <row r="2" spans="1:10" x14ac:dyDescent="0.25">
      <c r="A2" s="6">
        <v>1</v>
      </c>
      <c r="B2" s="6" t="s">
        <v>6</v>
      </c>
      <c r="C2" s="7">
        <v>53000</v>
      </c>
      <c r="D2" s="7">
        <v>31500</v>
      </c>
      <c r="E2" s="7">
        <v>17000</v>
      </c>
      <c r="F2" s="7">
        <v>39000</v>
      </c>
      <c r="G2" s="7">
        <v>25500</v>
      </c>
      <c r="H2" s="7">
        <v>13500</v>
      </c>
      <c r="I2" s="6">
        <v>1871</v>
      </c>
      <c r="J2" s="6" t="s">
        <v>110</v>
      </c>
    </row>
    <row r="3" spans="1:10" x14ac:dyDescent="0.25">
      <c r="A3" s="6">
        <v>4</v>
      </c>
      <c r="B3" s="6" t="s">
        <v>7</v>
      </c>
      <c r="C3" s="7">
        <v>46000</v>
      </c>
      <c r="D3" s="7">
        <v>30000</v>
      </c>
      <c r="E3" s="7">
        <v>16000</v>
      </c>
      <c r="F3" s="7">
        <v>37000</v>
      </c>
      <c r="G3" s="7">
        <v>24000</v>
      </c>
      <c r="H3" s="7">
        <v>13000</v>
      </c>
      <c r="I3" s="6">
        <v>1875</v>
      </c>
      <c r="J3" s="6" t="s">
        <v>110</v>
      </c>
    </row>
    <row r="4" spans="1:10" x14ac:dyDescent="0.25">
      <c r="A4" s="6">
        <v>19</v>
      </c>
      <c r="B4" s="6" t="s">
        <v>8</v>
      </c>
      <c r="C4" s="7">
        <v>46000</v>
      </c>
      <c r="D4" s="7">
        <v>30000</v>
      </c>
      <c r="E4" s="7">
        <v>16000</v>
      </c>
      <c r="F4" s="7">
        <v>37000</v>
      </c>
      <c r="G4" s="7">
        <v>24000</v>
      </c>
      <c r="H4" s="7">
        <v>13000</v>
      </c>
      <c r="I4" s="6">
        <v>1864</v>
      </c>
      <c r="J4" s="6" t="s">
        <v>110</v>
      </c>
    </row>
    <row r="5" spans="1:10" x14ac:dyDescent="0.25">
      <c r="A5" s="6">
        <v>22</v>
      </c>
      <c r="B5" s="6" t="s">
        <v>9</v>
      </c>
      <c r="C5" s="7">
        <v>60000</v>
      </c>
      <c r="D5" s="7">
        <v>36000</v>
      </c>
      <c r="E5" s="7">
        <v>24000</v>
      </c>
      <c r="F5" s="7">
        <v>46500</v>
      </c>
      <c r="G5" s="7">
        <v>28000</v>
      </c>
      <c r="H5" s="7">
        <v>18500</v>
      </c>
      <c r="J5" s="6" t="s">
        <v>110</v>
      </c>
    </row>
    <row r="6" spans="1:10" x14ac:dyDescent="0.25">
      <c r="A6" s="6">
        <v>23</v>
      </c>
      <c r="B6" s="6" t="s">
        <v>10</v>
      </c>
      <c r="C6" s="7">
        <v>46000</v>
      </c>
      <c r="D6" s="7">
        <v>23000</v>
      </c>
      <c r="E6" s="7">
        <v>23000</v>
      </c>
      <c r="F6" s="7">
        <v>37000</v>
      </c>
      <c r="G6" s="7">
        <v>18500</v>
      </c>
      <c r="H6" s="7">
        <v>18500</v>
      </c>
      <c r="J6" s="6" t="s">
        <v>110</v>
      </c>
    </row>
    <row r="7" spans="1:10" x14ac:dyDescent="0.25">
      <c r="A7" s="6">
        <v>7</v>
      </c>
      <c r="B7" s="6" t="s">
        <v>11</v>
      </c>
      <c r="C7" s="7">
        <v>46000</v>
      </c>
      <c r="D7" s="7">
        <v>30000</v>
      </c>
      <c r="E7" s="7">
        <v>16000</v>
      </c>
      <c r="F7" s="7">
        <v>37000</v>
      </c>
      <c r="G7" s="7">
        <v>24000</v>
      </c>
      <c r="H7" s="7">
        <v>13000</v>
      </c>
      <c r="I7" s="6">
        <v>1860</v>
      </c>
      <c r="J7" s="6" t="s">
        <v>110</v>
      </c>
    </row>
    <row r="8" spans="1:10" x14ac:dyDescent="0.25">
      <c r="A8" s="6">
        <v>18</v>
      </c>
      <c r="B8" s="6" t="s">
        <v>12</v>
      </c>
      <c r="C8" s="7">
        <v>46000</v>
      </c>
      <c r="D8" s="7">
        <v>30000</v>
      </c>
      <c r="E8" s="7">
        <v>16000</v>
      </c>
      <c r="F8" s="7">
        <v>37000</v>
      </c>
      <c r="G8" s="7">
        <v>24000</v>
      </c>
      <c r="H8" s="7">
        <v>13000</v>
      </c>
      <c r="I8" s="6">
        <v>1878</v>
      </c>
      <c r="J8" s="6" t="s">
        <v>110</v>
      </c>
    </row>
    <row r="9" spans="1:10" x14ac:dyDescent="0.25">
      <c r="A9" s="6">
        <v>17</v>
      </c>
      <c r="B9" s="6" t="s">
        <v>13</v>
      </c>
      <c r="C9" s="7">
        <v>46000</v>
      </c>
      <c r="D9" s="7">
        <v>30000</v>
      </c>
      <c r="E9" s="7">
        <v>16000</v>
      </c>
      <c r="F9" s="7">
        <v>37000</v>
      </c>
      <c r="G9" s="7">
        <v>24000</v>
      </c>
      <c r="H9" s="7">
        <v>13000</v>
      </c>
      <c r="I9" s="6">
        <v>1876</v>
      </c>
      <c r="J9" s="6" t="s">
        <v>110</v>
      </c>
    </row>
    <row r="10" spans="1:10" x14ac:dyDescent="0.25">
      <c r="A10" s="6">
        <v>2</v>
      </c>
      <c r="B10" s="6" t="s">
        <v>14</v>
      </c>
      <c r="C10" s="7">
        <v>46000</v>
      </c>
      <c r="D10" s="7">
        <v>30000</v>
      </c>
      <c r="E10" s="7">
        <v>16000</v>
      </c>
      <c r="F10" s="7">
        <v>37000</v>
      </c>
      <c r="G10" s="7">
        <v>24000</v>
      </c>
      <c r="H10" s="7">
        <v>13000</v>
      </c>
      <c r="I10" s="6" t="s">
        <v>15</v>
      </c>
      <c r="J10" s="6" t="s">
        <v>110</v>
      </c>
    </row>
    <row r="11" spans="1:10" x14ac:dyDescent="0.25">
      <c r="A11" s="6">
        <v>9</v>
      </c>
      <c r="B11" s="6" t="s">
        <v>16</v>
      </c>
      <c r="C11" s="7">
        <v>46000</v>
      </c>
      <c r="D11" s="7">
        <v>30000</v>
      </c>
      <c r="E11" s="7">
        <v>16000</v>
      </c>
      <c r="F11" s="7">
        <v>37000</v>
      </c>
      <c r="G11" s="7">
        <v>24000</v>
      </c>
      <c r="H11" s="7">
        <v>13000</v>
      </c>
      <c r="I11" s="6">
        <v>1863</v>
      </c>
      <c r="J11" s="6" t="s">
        <v>110</v>
      </c>
    </row>
    <row r="12" spans="1:10" x14ac:dyDescent="0.25">
      <c r="A12" s="6">
        <v>10</v>
      </c>
      <c r="B12" s="6" t="s">
        <v>17</v>
      </c>
      <c r="C12" s="7">
        <v>68500</v>
      </c>
      <c r="D12" s="7">
        <v>44500</v>
      </c>
      <c r="E12" s="7">
        <v>24000</v>
      </c>
      <c r="F12" s="7">
        <v>53000</v>
      </c>
      <c r="G12" s="7">
        <v>34500</v>
      </c>
      <c r="H12" s="7">
        <v>18500</v>
      </c>
      <c r="I12" s="6">
        <v>2432</v>
      </c>
      <c r="J12" s="6" t="s">
        <v>110</v>
      </c>
    </row>
    <row r="13" spans="1:10" x14ac:dyDescent="0.25">
      <c r="A13" s="6">
        <v>16</v>
      </c>
      <c r="B13" s="6" t="s">
        <v>18</v>
      </c>
      <c r="C13" s="7">
        <v>46000</v>
      </c>
      <c r="D13" s="7">
        <v>30000</v>
      </c>
      <c r="E13" s="7">
        <v>16000</v>
      </c>
      <c r="F13" s="7">
        <v>37000</v>
      </c>
      <c r="G13" s="7">
        <v>24000</v>
      </c>
      <c r="H13" s="7">
        <v>13000</v>
      </c>
      <c r="I13" s="6">
        <v>1889</v>
      </c>
      <c r="J13" s="6" t="s">
        <v>110</v>
      </c>
    </row>
    <row r="14" spans="1:10" x14ac:dyDescent="0.25">
      <c r="A14" s="6">
        <v>11</v>
      </c>
      <c r="B14" s="6" t="s">
        <v>19</v>
      </c>
      <c r="C14" s="7">
        <v>46000</v>
      </c>
      <c r="D14" s="7">
        <v>30000</v>
      </c>
      <c r="E14" s="7">
        <v>16000</v>
      </c>
      <c r="F14" s="7">
        <v>37000</v>
      </c>
      <c r="G14" s="7">
        <v>24000</v>
      </c>
      <c r="H14" s="7">
        <v>13000</v>
      </c>
      <c r="I14" s="6">
        <v>1861</v>
      </c>
      <c r="J14" s="6" t="s">
        <v>110</v>
      </c>
    </row>
    <row r="15" spans="1:10" x14ac:dyDescent="0.25">
      <c r="A15" s="6">
        <v>12</v>
      </c>
      <c r="B15" s="6" t="s">
        <v>20</v>
      </c>
      <c r="C15" s="7">
        <v>74500</v>
      </c>
      <c r="D15" s="7">
        <v>48500</v>
      </c>
      <c r="E15" s="7">
        <v>26000</v>
      </c>
      <c r="F15" s="7">
        <v>57500</v>
      </c>
      <c r="G15" s="7">
        <v>37500</v>
      </c>
      <c r="H15" s="7">
        <v>20000</v>
      </c>
      <c r="I15" s="6">
        <v>1903</v>
      </c>
      <c r="J15" s="6" t="s">
        <v>110</v>
      </c>
    </row>
    <row r="16" spans="1:10" x14ac:dyDescent="0.25">
      <c r="A16" s="6">
        <v>14</v>
      </c>
      <c r="B16" s="6" t="s">
        <v>21</v>
      </c>
      <c r="C16" s="7">
        <v>46000</v>
      </c>
      <c r="D16" s="7">
        <v>30000</v>
      </c>
      <c r="E16" s="7">
        <v>16000</v>
      </c>
      <c r="F16" s="7">
        <v>37000</v>
      </c>
      <c r="G16" s="7">
        <v>24000</v>
      </c>
      <c r="H16" s="7">
        <v>13000</v>
      </c>
      <c r="I16" s="6">
        <v>1881</v>
      </c>
      <c r="J16" s="6" t="s">
        <v>110</v>
      </c>
    </row>
    <row r="17" spans="1:10" x14ac:dyDescent="0.25">
      <c r="A17" s="6">
        <v>21</v>
      </c>
      <c r="B17" s="6" t="s">
        <v>22</v>
      </c>
      <c r="C17" s="7">
        <v>69000</v>
      </c>
      <c r="D17" s="7">
        <v>45000</v>
      </c>
      <c r="E17" s="7">
        <v>24000</v>
      </c>
      <c r="F17" s="7">
        <v>55000</v>
      </c>
      <c r="G17" s="7">
        <v>19000</v>
      </c>
      <c r="H17" s="7">
        <v>36000</v>
      </c>
      <c r="J17" s="6" t="s">
        <v>110</v>
      </c>
    </row>
    <row r="18" spans="1:10" x14ac:dyDescent="0.25">
      <c r="A18" s="6">
        <v>3</v>
      </c>
      <c r="B18" s="6" t="s">
        <v>23</v>
      </c>
      <c r="C18" s="7">
        <v>46000</v>
      </c>
      <c r="D18" s="7">
        <v>30000</v>
      </c>
      <c r="E18" s="7">
        <v>16000</v>
      </c>
      <c r="F18" s="7">
        <v>37000</v>
      </c>
      <c r="G18" s="7">
        <v>24000</v>
      </c>
      <c r="H18" s="7">
        <v>13000</v>
      </c>
      <c r="I18" s="6">
        <v>1874</v>
      </c>
      <c r="J18" s="6" t="s">
        <v>110</v>
      </c>
    </row>
    <row r="19" spans="1:10" x14ac:dyDescent="0.25">
      <c r="A19" s="6">
        <v>20</v>
      </c>
      <c r="B19" s="6" t="s">
        <v>24</v>
      </c>
      <c r="C19" s="7">
        <v>74000</v>
      </c>
      <c r="D19" s="7">
        <v>48000</v>
      </c>
      <c r="E19" s="7">
        <v>26000</v>
      </c>
      <c r="F19" s="7">
        <v>57500</v>
      </c>
      <c r="G19" s="7">
        <v>55500</v>
      </c>
      <c r="H19" s="7">
        <v>2000</v>
      </c>
      <c r="J19" s="6" t="s">
        <v>110</v>
      </c>
    </row>
    <row r="20" spans="1:10" x14ac:dyDescent="0.25">
      <c r="A20" s="6">
        <v>15</v>
      </c>
      <c r="B20" s="6" t="s">
        <v>25</v>
      </c>
      <c r="C20" s="7">
        <v>46000</v>
      </c>
      <c r="D20" s="7">
        <v>30000</v>
      </c>
      <c r="E20" s="7">
        <v>16000</v>
      </c>
      <c r="F20" s="7">
        <v>37000</v>
      </c>
      <c r="G20" s="7">
        <v>24000</v>
      </c>
      <c r="H20" s="7">
        <v>13000</v>
      </c>
      <c r="I20" s="6">
        <v>1870</v>
      </c>
      <c r="J20" s="6" t="s">
        <v>110</v>
      </c>
    </row>
    <row r="21" spans="1:10" x14ac:dyDescent="0.25">
      <c r="A21" s="6">
        <v>13</v>
      </c>
      <c r="B21" s="6" t="s">
        <v>26</v>
      </c>
      <c r="C21" s="7">
        <v>46000</v>
      </c>
      <c r="D21" s="7">
        <v>30000</v>
      </c>
      <c r="E21" s="7">
        <v>16000</v>
      </c>
      <c r="F21" s="7">
        <v>37000</v>
      </c>
      <c r="G21" s="7">
        <v>24000</v>
      </c>
      <c r="H21" s="7">
        <v>13000</v>
      </c>
      <c r="I21" s="6">
        <v>1869</v>
      </c>
      <c r="J21" s="6" t="s">
        <v>110</v>
      </c>
    </row>
    <row r="22" spans="1:10" x14ac:dyDescent="0.25">
      <c r="A22" s="6">
        <v>8</v>
      </c>
      <c r="B22" s="6" t="s">
        <v>27</v>
      </c>
      <c r="C22" s="7">
        <v>46000</v>
      </c>
      <c r="D22" s="7">
        <v>30000</v>
      </c>
      <c r="E22" s="7">
        <v>16000</v>
      </c>
      <c r="F22" s="7">
        <v>37000</v>
      </c>
      <c r="G22" s="7">
        <v>24000</v>
      </c>
      <c r="H22" s="7">
        <v>13000</v>
      </c>
      <c r="I22" s="6">
        <v>1862</v>
      </c>
      <c r="J22" s="6" t="s">
        <v>110</v>
      </c>
    </row>
    <row r="23" spans="1:10" x14ac:dyDescent="0.25">
      <c r="A23" s="6">
        <v>5</v>
      </c>
      <c r="B23" s="6" t="s">
        <v>28</v>
      </c>
      <c r="C23" s="7">
        <v>46000</v>
      </c>
      <c r="D23" s="7">
        <v>30000</v>
      </c>
      <c r="E23" s="7">
        <v>16000</v>
      </c>
      <c r="F23" s="7">
        <v>37000</v>
      </c>
      <c r="G23" s="7">
        <v>24000</v>
      </c>
      <c r="H23" s="7">
        <v>13000</v>
      </c>
      <c r="J23" s="6" t="s">
        <v>110</v>
      </c>
    </row>
    <row r="24" spans="1:10" x14ac:dyDescent="0.25">
      <c r="A24" s="6">
        <v>6</v>
      </c>
      <c r="B24" s="6" t="s">
        <v>29</v>
      </c>
      <c r="C24" s="7">
        <v>46000</v>
      </c>
      <c r="D24" s="7">
        <v>30000</v>
      </c>
      <c r="E24" s="7">
        <v>16000</v>
      </c>
      <c r="F24" s="7">
        <v>37000</v>
      </c>
      <c r="G24" s="7">
        <v>24000</v>
      </c>
      <c r="H24" s="7">
        <v>13000</v>
      </c>
      <c r="J24" s="6" t="s">
        <v>110</v>
      </c>
    </row>
    <row r="25" spans="1:10" x14ac:dyDescent="0.25">
      <c r="A25" s="6">
        <v>49</v>
      </c>
      <c r="B25" s="6" t="s">
        <v>30</v>
      </c>
      <c r="C25" s="7">
        <v>117000</v>
      </c>
      <c r="D25" s="7">
        <v>76000</v>
      </c>
      <c r="E25" s="7">
        <v>41000</v>
      </c>
      <c r="F25" s="7">
        <v>93500</v>
      </c>
      <c r="G25" s="7">
        <v>60500</v>
      </c>
      <c r="H25" s="7">
        <v>33000</v>
      </c>
      <c r="J25" s="6" t="s">
        <v>111</v>
      </c>
    </row>
    <row r="26" spans="1:10" x14ac:dyDescent="0.25">
      <c r="A26" s="6">
        <v>48</v>
      </c>
      <c r="B26" s="6" t="s">
        <v>31</v>
      </c>
      <c r="C26" s="7">
        <v>185000</v>
      </c>
      <c r="D26" s="7">
        <v>120000</v>
      </c>
      <c r="E26" s="7">
        <v>65000</v>
      </c>
      <c r="F26" s="7">
        <v>148000</v>
      </c>
      <c r="G26" s="7">
        <v>96000</v>
      </c>
      <c r="H26" s="7">
        <v>52000</v>
      </c>
      <c r="J26" s="6" t="s">
        <v>111</v>
      </c>
    </row>
    <row r="27" spans="1:10" x14ac:dyDescent="0.25">
      <c r="A27" s="6">
        <v>57</v>
      </c>
      <c r="B27" s="6" t="s">
        <v>32</v>
      </c>
      <c r="C27" s="7">
        <v>102000</v>
      </c>
      <c r="D27" s="7">
        <v>66000</v>
      </c>
      <c r="E27" s="7">
        <v>36000</v>
      </c>
      <c r="F27" s="7">
        <v>81500</v>
      </c>
      <c r="G27" s="7">
        <v>53000</v>
      </c>
      <c r="H27" s="7">
        <v>28500</v>
      </c>
      <c r="J27" s="6" t="s">
        <v>111</v>
      </c>
    </row>
    <row r="28" spans="1:10" x14ac:dyDescent="0.25">
      <c r="A28" s="6">
        <v>50</v>
      </c>
      <c r="B28" s="6" t="s">
        <v>33</v>
      </c>
      <c r="C28" s="7">
        <v>75000</v>
      </c>
      <c r="D28" s="7">
        <v>49000</v>
      </c>
      <c r="E28" s="7">
        <v>26000</v>
      </c>
      <c r="F28" s="7">
        <v>60000</v>
      </c>
      <c r="G28" s="7">
        <v>39000</v>
      </c>
      <c r="H28" s="7">
        <v>21000</v>
      </c>
      <c r="J28" s="6" t="s">
        <v>111</v>
      </c>
    </row>
    <row r="29" spans="1:10" x14ac:dyDescent="0.25">
      <c r="A29" s="6">
        <v>51</v>
      </c>
      <c r="B29" s="6" t="s">
        <v>34</v>
      </c>
      <c r="C29" s="7">
        <v>82000</v>
      </c>
      <c r="D29" s="7">
        <v>41000</v>
      </c>
      <c r="E29" s="7">
        <v>41000</v>
      </c>
      <c r="F29" s="7">
        <v>65500</v>
      </c>
      <c r="G29" s="7">
        <v>32500</v>
      </c>
      <c r="H29" s="7">
        <v>33000</v>
      </c>
      <c r="I29" s="6">
        <v>1908</v>
      </c>
      <c r="J29" s="6" t="s">
        <v>111</v>
      </c>
    </row>
    <row r="30" spans="1:10" x14ac:dyDescent="0.25">
      <c r="A30" s="6">
        <v>58</v>
      </c>
      <c r="B30" s="6" t="s">
        <v>35</v>
      </c>
      <c r="C30" s="7">
        <v>95500</v>
      </c>
      <c r="D30" s="7">
        <v>62000</v>
      </c>
      <c r="E30" s="7">
        <v>33500</v>
      </c>
      <c r="F30" s="7">
        <v>76500</v>
      </c>
      <c r="G30" s="7">
        <v>49500</v>
      </c>
      <c r="H30" s="7">
        <v>27000</v>
      </c>
      <c r="J30" s="6" t="s">
        <v>111</v>
      </c>
    </row>
    <row r="31" spans="1:10" x14ac:dyDescent="0.25">
      <c r="A31" s="6">
        <v>59</v>
      </c>
      <c r="B31" s="6" t="s">
        <v>36</v>
      </c>
      <c r="C31" s="7">
        <v>68500</v>
      </c>
      <c r="D31" s="7">
        <v>44500</v>
      </c>
      <c r="E31" s="7">
        <v>24000</v>
      </c>
      <c r="F31" s="7">
        <v>55000</v>
      </c>
      <c r="G31" s="7">
        <v>36000</v>
      </c>
      <c r="H31" s="7">
        <v>19000</v>
      </c>
      <c r="I31" s="6">
        <v>1891</v>
      </c>
      <c r="J31" s="6" t="s">
        <v>111</v>
      </c>
    </row>
    <row r="32" spans="1:10" x14ac:dyDescent="0.25">
      <c r="A32" s="6">
        <v>54</v>
      </c>
      <c r="B32" s="6" t="s">
        <v>37</v>
      </c>
      <c r="C32" s="7">
        <v>68000</v>
      </c>
      <c r="D32" s="7">
        <v>34000</v>
      </c>
      <c r="E32" s="7">
        <v>34000</v>
      </c>
      <c r="F32" s="7">
        <v>54500</v>
      </c>
      <c r="G32" s="7">
        <v>27500</v>
      </c>
      <c r="H32" s="7">
        <v>27000</v>
      </c>
      <c r="I32" s="6">
        <v>1906</v>
      </c>
      <c r="J32" s="6" t="s">
        <v>111</v>
      </c>
    </row>
    <row r="33" spans="1:10" x14ac:dyDescent="0.25">
      <c r="A33" s="6">
        <v>55</v>
      </c>
      <c r="B33" s="6" t="s">
        <v>38</v>
      </c>
      <c r="C33" s="7">
        <v>102000</v>
      </c>
      <c r="D33" s="7">
        <v>51000</v>
      </c>
      <c r="E33" s="7">
        <v>51000</v>
      </c>
      <c r="F33" s="7">
        <v>81500</v>
      </c>
      <c r="G33" s="7">
        <v>40500</v>
      </c>
      <c r="H33" s="7">
        <v>41000</v>
      </c>
      <c r="I33" s="6">
        <v>1907</v>
      </c>
      <c r="J33" s="6" t="s">
        <v>111</v>
      </c>
    </row>
    <row r="34" spans="1:10" x14ac:dyDescent="0.25">
      <c r="A34" s="6">
        <v>56</v>
      </c>
      <c r="B34" s="6" t="s">
        <v>39</v>
      </c>
      <c r="C34" s="7">
        <v>102000</v>
      </c>
      <c r="D34" s="7">
        <v>51000</v>
      </c>
      <c r="E34" s="7">
        <v>51000</v>
      </c>
      <c r="F34" s="7">
        <v>81500</v>
      </c>
      <c r="G34" s="7">
        <v>40500</v>
      </c>
      <c r="H34" s="7">
        <v>41000</v>
      </c>
      <c r="J34" s="6" t="s">
        <v>111</v>
      </c>
    </row>
    <row r="35" spans="1:10" x14ac:dyDescent="0.25">
      <c r="A35" s="6">
        <v>52</v>
      </c>
      <c r="B35" s="6" t="s">
        <v>40</v>
      </c>
      <c r="C35" s="7">
        <v>68000</v>
      </c>
      <c r="D35" s="7">
        <v>34000</v>
      </c>
      <c r="E35" s="7">
        <v>34000</v>
      </c>
      <c r="F35" s="7">
        <v>54500</v>
      </c>
      <c r="G35" s="7">
        <v>27500</v>
      </c>
      <c r="H35" s="7">
        <v>27000</v>
      </c>
      <c r="J35" s="6" t="s">
        <v>111</v>
      </c>
    </row>
    <row r="36" spans="1:10" x14ac:dyDescent="0.25">
      <c r="A36" s="6">
        <v>53</v>
      </c>
      <c r="B36" s="6" t="s">
        <v>41</v>
      </c>
      <c r="C36" s="7">
        <v>102000</v>
      </c>
      <c r="D36" s="7">
        <v>51000</v>
      </c>
      <c r="E36" s="7">
        <v>51000</v>
      </c>
      <c r="F36" s="7">
        <v>81500</v>
      </c>
      <c r="G36" s="7">
        <v>40500</v>
      </c>
      <c r="H36" s="7">
        <v>41000</v>
      </c>
      <c r="J36" s="6" t="s">
        <v>111</v>
      </c>
    </row>
    <row r="37" spans="1:10" x14ac:dyDescent="0.25">
      <c r="A37" s="6">
        <v>62</v>
      </c>
      <c r="B37" s="6" t="s">
        <v>42</v>
      </c>
      <c r="C37" s="7">
        <v>34000</v>
      </c>
      <c r="D37" s="7">
        <v>17000</v>
      </c>
      <c r="E37" s="7">
        <v>17000</v>
      </c>
      <c r="F37" s="7">
        <v>0</v>
      </c>
      <c r="G37" s="7">
        <v>0</v>
      </c>
      <c r="H37" s="7">
        <v>0</v>
      </c>
      <c r="J37" s="6" t="s">
        <v>112</v>
      </c>
    </row>
    <row r="38" spans="1:10" x14ac:dyDescent="0.25">
      <c r="A38" s="6">
        <v>61</v>
      </c>
      <c r="B38" s="6" t="s">
        <v>43</v>
      </c>
      <c r="C38" s="7">
        <v>34000</v>
      </c>
      <c r="D38" s="7">
        <v>17000</v>
      </c>
      <c r="E38" s="7">
        <v>17000</v>
      </c>
      <c r="F38" s="7">
        <v>0</v>
      </c>
      <c r="G38" s="7">
        <v>0</v>
      </c>
      <c r="H38" s="7">
        <v>0</v>
      </c>
      <c r="I38" s="6">
        <v>1904</v>
      </c>
      <c r="J38" s="6" t="s">
        <v>112</v>
      </c>
    </row>
    <row r="39" spans="1:10" x14ac:dyDescent="0.25">
      <c r="A39" s="6">
        <v>60</v>
      </c>
      <c r="B39" s="6" t="s">
        <v>44</v>
      </c>
      <c r="C39" s="7">
        <v>41000</v>
      </c>
      <c r="D39" s="7">
        <v>20500</v>
      </c>
      <c r="E39" s="7">
        <v>20500</v>
      </c>
      <c r="F39" s="7">
        <v>0</v>
      </c>
      <c r="G39" s="7">
        <v>0</v>
      </c>
      <c r="H39" s="7">
        <v>0</v>
      </c>
      <c r="I39" s="6">
        <v>1908</v>
      </c>
      <c r="J39" s="6" t="s">
        <v>112</v>
      </c>
    </row>
    <row r="40" spans="1:10" x14ac:dyDescent="0.25">
      <c r="A40" s="6">
        <v>63</v>
      </c>
      <c r="B40" s="6" t="s">
        <v>45</v>
      </c>
      <c r="C40" s="7">
        <v>23000</v>
      </c>
      <c r="D40" s="7">
        <v>0</v>
      </c>
      <c r="E40" s="7">
        <v>23000</v>
      </c>
      <c r="F40" s="7">
        <v>23000</v>
      </c>
      <c r="G40" s="7">
        <v>0</v>
      </c>
      <c r="H40" s="7">
        <v>23000</v>
      </c>
      <c r="I40" s="6">
        <v>1892</v>
      </c>
      <c r="J40" s="6" t="s">
        <v>113</v>
      </c>
    </row>
    <row r="41" spans="1:10" x14ac:dyDescent="0.25">
      <c r="A41" s="6">
        <v>64</v>
      </c>
      <c r="B41" s="6" t="s">
        <v>46</v>
      </c>
      <c r="C41" s="7">
        <v>9000</v>
      </c>
      <c r="D41" s="7">
        <v>0</v>
      </c>
      <c r="E41" s="7">
        <v>9000</v>
      </c>
      <c r="F41" s="7">
        <v>7500</v>
      </c>
      <c r="G41" s="7">
        <v>0</v>
      </c>
      <c r="H41" s="7">
        <v>7500</v>
      </c>
      <c r="I41" s="6">
        <v>1893</v>
      </c>
    </row>
    <row r="42" spans="1:10" x14ac:dyDescent="0.25">
      <c r="A42" s="6" t="s">
        <v>114</v>
      </c>
    </row>
    <row r="43" spans="1:10" x14ac:dyDescent="0.25">
      <c r="A43" s="6">
        <v>65</v>
      </c>
      <c r="B43" s="6" t="s">
        <v>47</v>
      </c>
      <c r="C43" s="7">
        <v>60000</v>
      </c>
      <c r="D43" s="7">
        <v>60000</v>
      </c>
      <c r="E43" s="7">
        <v>0</v>
      </c>
      <c r="F43" s="7">
        <v>48000</v>
      </c>
      <c r="G43" s="7">
        <v>48000</v>
      </c>
      <c r="H43" s="7">
        <v>0</v>
      </c>
      <c r="I43" s="6">
        <v>1894</v>
      </c>
      <c r="J43" s="6" t="s">
        <v>113</v>
      </c>
    </row>
    <row r="44" spans="1:10" x14ac:dyDescent="0.25">
      <c r="A44" s="6">
        <v>66</v>
      </c>
      <c r="B44" s="6" t="s">
        <v>48</v>
      </c>
      <c r="C44" s="7">
        <v>45000</v>
      </c>
      <c r="D44" s="7">
        <v>45000</v>
      </c>
      <c r="E44" s="7">
        <v>0</v>
      </c>
      <c r="F44" s="7">
        <v>36000</v>
      </c>
      <c r="G44" s="7">
        <v>36000</v>
      </c>
      <c r="H44" s="7">
        <v>0</v>
      </c>
      <c r="I44" s="6">
        <v>1895</v>
      </c>
      <c r="J44" s="6" t="s">
        <v>113</v>
      </c>
    </row>
    <row r="45" spans="1:10" x14ac:dyDescent="0.25">
      <c r="A45" s="6">
        <v>67</v>
      </c>
      <c r="B45" s="6" t="s">
        <v>49</v>
      </c>
      <c r="C45" s="7">
        <v>45000</v>
      </c>
      <c r="D45" s="7">
        <v>45000</v>
      </c>
      <c r="E45" s="7">
        <v>0</v>
      </c>
      <c r="F45" s="7">
        <v>36000</v>
      </c>
      <c r="G45" s="7">
        <v>36000</v>
      </c>
      <c r="H45" s="7">
        <v>0</v>
      </c>
      <c r="I45" s="6">
        <v>1896</v>
      </c>
      <c r="J45" s="6" t="s">
        <v>113</v>
      </c>
    </row>
    <row r="46" spans="1:10" x14ac:dyDescent="0.25">
      <c r="A46" s="6">
        <v>68</v>
      </c>
      <c r="B46" s="6" t="s">
        <v>50</v>
      </c>
      <c r="C46" s="7">
        <v>48000</v>
      </c>
      <c r="D46" s="7">
        <v>48000</v>
      </c>
      <c r="E46" s="7">
        <v>0</v>
      </c>
      <c r="F46" s="7">
        <v>48000</v>
      </c>
      <c r="G46" s="7">
        <v>48000</v>
      </c>
      <c r="H46" s="7">
        <v>0</v>
      </c>
      <c r="J46" s="6" t="s">
        <v>115</v>
      </c>
    </row>
    <row r="47" spans="1:10" x14ac:dyDescent="0.25">
      <c r="A47" s="6">
        <v>69</v>
      </c>
      <c r="B47" s="6" t="s">
        <v>51</v>
      </c>
      <c r="C47" s="7">
        <v>25000</v>
      </c>
      <c r="D47" s="7">
        <v>25000</v>
      </c>
      <c r="E47" s="7">
        <v>0</v>
      </c>
      <c r="F47" s="7">
        <v>20000</v>
      </c>
      <c r="G47" s="7">
        <v>20000</v>
      </c>
      <c r="H47" s="7">
        <v>0</v>
      </c>
      <c r="I47" s="6">
        <v>1948</v>
      </c>
      <c r="J47" s="6" t="s">
        <v>116</v>
      </c>
    </row>
    <row r="48" spans="1:10" x14ac:dyDescent="0.25">
      <c r="A48" s="6">
        <v>81</v>
      </c>
      <c r="B48" s="6" t="s">
        <v>52</v>
      </c>
      <c r="C48" s="7">
        <v>42000</v>
      </c>
      <c r="D48" s="7">
        <v>42000</v>
      </c>
      <c r="E48" s="7">
        <v>0</v>
      </c>
      <c r="F48" s="7">
        <v>33500</v>
      </c>
      <c r="G48" s="7">
        <v>33500</v>
      </c>
      <c r="H48" s="7">
        <v>0</v>
      </c>
      <c r="I48" s="6">
        <v>2429</v>
      </c>
      <c r="J48" s="6" t="s">
        <v>116</v>
      </c>
    </row>
    <row r="49" spans="1:10" x14ac:dyDescent="0.25">
      <c r="A49" s="6">
        <v>70</v>
      </c>
      <c r="B49" s="6" t="s">
        <v>53</v>
      </c>
      <c r="C49" s="7">
        <v>17000</v>
      </c>
      <c r="D49" s="7">
        <v>17000</v>
      </c>
      <c r="E49" s="7">
        <v>0</v>
      </c>
      <c r="F49" s="7">
        <v>13500</v>
      </c>
      <c r="G49" s="7">
        <v>13500</v>
      </c>
      <c r="H49" s="7">
        <v>0</v>
      </c>
      <c r="J49" s="6" t="s">
        <v>116</v>
      </c>
    </row>
    <row r="50" spans="1:10" x14ac:dyDescent="0.25">
      <c r="A50" s="6">
        <v>71</v>
      </c>
      <c r="B50" s="6" t="s">
        <v>54</v>
      </c>
      <c r="C50" s="7">
        <v>28500</v>
      </c>
      <c r="D50" s="7">
        <v>28500</v>
      </c>
      <c r="E50" s="7">
        <v>0</v>
      </c>
      <c r="F50" s="7">
        <v>23000</v>
      </c>
      <c r="G50" s="7">
        <v>23000</v>
      </c>
      <c r="H50" s="7">
        <v>0</v>
      </c>
      <c r="I50" s="6">
        <v>1949</v>
      </c>
      <c r="J50" s="6" t="s">
        <v>116</v>
      </c>
    </row>
    <row r="51" spans="1:10" x14ac:dyDescent="0.25">
      <c r="A51" s="6">
        <v>82</v>
      </c>
      <c r="B51" s="6" t="s">
        <v>55</v>
      </c>
      <c r="C51" s="7">
        <v>48000</v>
      </c>
      <c r="D51" s="7">
        <v>48000</v>
      </c>
      <c r="E51" s="7">
        <v>0</v>
      </c>
      <c r="F51" s="7">
        <v>38500</v>
      </c>
      <c r="G51" s="7">
        <v>38500</v>
      </c>
      <c r="H51" s="7">
        <v>0</v>
      </c>
      <c r="I51" s="6">
        <v>1956</v>
      </c>
      <c r="J51" s="6" t="s">
        <v>116</v>
      </c>
    </row>
    <row r="52" spans="1:10" x14ac:dyDescent="0.25">
      <c r="A52" s="6">
        <v>72</v>
      </c>
      <c r="B52" s="6" t="s">
        <v>56</v>
      </c>
      <c r="C52" s="7">
        <v>19500</v>
      </c>
      <c r="D52" s="7">
        <v>19500</v>
      </c>
      <c r="E52" s="7">
        <v>0</v>
      </c>
      <c r="F52" s="7">
        <v>15500</v>
      </c>
      <c r="G52" s="7">
        <v>15500</v>
      </c>
      <c r="H52" s="7">
        <v>0</v>
      </c>
      <c r="J52" s="6" t="s">
        <v>116</v>
      </c>
    </row>
    <row r="53" spans="1:10" x14ac:dyDescent="0.25">
      <c r="A53" s="6">
        <v>83</v>
      </c>
      <c r="B53" s="6" t="s">
        <v>57</v>
      </c>
      <c r="C53" s="7">
        <v>48000</v>
      </c>
      <c r="D53" s="7">
        <v>48000</v>
      </c>
      <c r="E53" s="7">
        <v>0</v>
      </c>
      <c r="F53" s="7">
        <v>38500</v>
      </c>
      <c r="G53" s="7">
        <v>38500</v>
      </c>
      <c r="H53" s="7">
        <v>0</v>
      </c>
      <c r="I53" s="6">
        <v>1957</v>
      </c>
      <c r="J53" s="6" t="s">
        <v>116</v>
      </c>
    </row>
    <row r="54" spans="1:10" x14ac:dyDescent="0.25">
      <c r="A54" s="6">
        <v>73</v>
      </c>
      <c r="B54" s="6" t="s">
        <v>58</v>
      </c>
      <c r="C54" s="7">
        <v>28500</v>
      </c>
      <c r="D54" s="7">
        <v>28500</v>
      </c>
      <c r="E54" s="7">
        <v>0</v>
      </c>
      <c r="F54" s="7">
        <v>23000</v>
      </c>
      <c r="G54" s="7">
        <v>23000</v>
      </c>
      <c r="H54" s="7">
        <v>0</v>
      </c>
      <c r="I54" s="6">
        <v>1950</v>
      </c>
      <c r="J54" s="6" t="s">
        <v>116</v>
      </c>
    </row>
    <row r="55" spans="1:10" x14ac:dyDescent="0.25">
      <c r="A55" s="6">
        <v>74</v>
      </c>
      <c r="B55" s="6" t="s">
        <v>59</v>
      </c>
      <c r="C55" s="7">
        <v>19500</v>
      </c>
      <c r="D55" s="7">
        <v>19500</v>
      </c>
      <c r="E55" s="7">
        <v>0</v>
      </c>
      <c r="F55" s="7">
        <v>15500</v>
      </c>
      <c r="G55" s="7">
        <v>15500</v>
      </c>
      <c r="H55" s="7">
        <v>0</v>
      </c>
      <c r="J55" s="6" t="s">
        <v>116</v>
      </c>
    </row>
    <row r="56" spans="1:10" x14ac:dyDescent="0.25">
      <c r="A56" s="6">
        <v>75</v>
      </c>
      <c r="B56" s="6" t="s">
        <v>60</v>
      </c>
      <c r="C56" s="7">
        <v>28500</v>
      </c>
      <c r="D56" s="7">
        <v>28500</v>
      </c>
      <c r="E56" s="7">
        <v>0</v>
      </c>
      <c r="F56" s="7">
        <v>23000</v>
      </c>
      <c r="G56" s="7">
        <v>23000</v>
      </c>
      <c r="H56" s="7">
        <v>0</v>
      </c>
      <c r="I56" s="6">
        <v>2428</v>
      </c>
      <c r="J56" s="6" t="s">
        <v>116</v>
      </c>
    </row>
    <row r="57" spans="1:10" x14ac:dyDescent="0.25">
      <c r="A57" s="6">
        <v>76</v>
      </c>
      <c r="B57" s="6" t="s">
        <v>61</v>
      </c>
      <c r="C57" s="7">
        <v>25000</v>
      </c>
      <c r="D57" s="7">
        <v>25000</v>
      </c>
      <c r="E57" s="7">
        <v>0</v>
      </c>
      <c r="F57" s="7">
        <v>20000</v>
      </c>
      <c r="G57" s="7">
        <v>20000</v>
      </c>
      <c r="H57" s="7">
        <v>0</v>
      </c>
      <c r="I57" s="6">
        <v>1952</v>
      </c>
      <c r="J57" s="6" t="s">
        <v>116</v>
      </c>
    </row>
    <row r="58" spans="1:10" x14ac:dyDescent="0.25">
      <c r="A58" s="6">
        <v>84</v>
      </c>
      <c r="B58" s="6" t="s">
        <v>62</v>
      </c>
      <c r="C58" s="7">
        <v>42000</v>
      </c>
      <c r="D58" s="7">
        <v>42000</v>
      </c>
      <c r="E58" s="7">
        <v>0</v>
      </c>
      <c r="F58" s="7">
        <v>33500</v>
      </c>
      <c r="G58" s="7">
        <v>33500</v>
      </c>
      <c r="H58" s="7">
        <v>0</v>
      </c>
      <c r="I58" s="6">
        <v>1958</v>
      </c>
      <c r="J58" s="6" t="s">
        <v>116</v>
      </c>
    </row>
    <row r="59" spans="1:10" x14ac:dyDescent="0.25">
      <c r="A59" s="6">
        <v>77</v>
      </c>
      <c r="B59" s="6" t="s">
        <v>63</v>
      </c>
      <c r="C59" s="7">
        <v>17000</v>
      </c>
      <c r="D59" s="7">
        <v>17000</v>
      </c>
      <c r="E59" s="7">
        <v>0</v>
      </c>
      <c r="F59" s="7">
        <v>13500</v>
      </c>
      <c r="G59" s="7">
        <v>13500</v>
      </c>
      <c r="H59" s="7">
        <v>0</v>
      </c>
      <c r="J59" s="6" t="s">
        <v>116</v>
      </c>
    </row>
    <row r="60" spans="1:10" x14ac:dyDescent="0.25">
      <c r="A60" s="6">
        <v>78</v>
      </c>
      <c r="B60" s="6" t="s">
        <v>64</v>
      </c>
      <c r="C60" s="7">
        <v>23000</v>
      </c>
      <c r="D60" s="7">
        <v>23000</v>
      </c>
      <c r="E60" s="7">
        <v>0</v>
      </c>
      <c r="F60" s="7">
        <v>18500</v>
      </c>
      <c r="G60" s="7">
        <v>18500</v>
      </c>
      <c r="H60" s="7">
        <v>0</v>
      </c>
      <c r="I60" s="6">
        <v>1953</v>
      </c>
      <c r="J60" s="6" t="s">
        <v>116</v>
      </c>
    </row>
    <row r="61" spans="1:10" x14ac:dyDescent="0.25">
      <c r="A61" s="6">
        <v>85</v>
      </c>
      <c r="B61" s="6" t="s">
        <v>65</v>
      </c>
      <c r="C61" s="7">
        <v>40000</v>
      </c>
      <c r="D61" s="7">
        <v>40000</v>
      </c>
      <c r="E61" s="7">
        <v>0</v>
      </c>
      <c r="F61" s="7">
        <v>32000</v>
      </c>
      <c r="G61" s="7">
        <v>32000</v>
      </c>
      <c r="H61" s="7">
        <v>0</v>
      </c>
      <c r="I61" s="6">
        <v>1959</v>
      </c>
      <c r="J61" s="6" t="s">
        <v>116</v>
      </c>
    </row>
    <row r="62" spans="1:10" x14ac:dyDescent="0.25">
      <c r="A62" s="6">
        <v>79</v>
      </c>
      <c r="B62" s="6" t="s">
        <v>66</v>
      </c>
      <c r="C62" s="7">
        <v>17000</v>
      </c>
      <c r="D62" s="7">
        <v>17000</v>
      </c>
      <c r="E62" s="7">
        <v>0</v>
      </c>
      <c r="F62" s="7">
        <v>13500</v>
      </c>
      <c r="G62" s="7">
        <v>13500</v>
      </c>
      <c r="H62" s="7">
        <v>0</v>
      </c>
      <c r="J62" s="6" t="s">
        <v>116</v>
      </c>
    </row>
    <row r="63" spans="1:10" x14ac:dyDescent="0.25">
      <c r="A63" s="6">
        <v>80</v>
      </c>
      <c r="B63" s="6" t="s">
        <v>67</v>
      </c>
      <c r="C63" s="7">
        <v>23500</v>
      </c>
      <c r="D63" s="7">
        <v>23500</v>
      </c>
      <c r="E63" s="7">
        <v>0</v>
      </c>
      <c r="F63" s="7">
        <v>19000</v>
      </c>
      <c r="G63" s="7">
        <v>19000</v>
      </c>
      <c r="H63" s="7">
        <v>0</v>
      </c>
      <c r="I63" s="6">
        <v>1954</v>
      </c>
      <c r="J63" s="6" t="s">
        <v>116</v>
      </c>
    </row>
    <row r="64" spans="1:10" x14ac:dyDescent="0.25">
      <c r="A64" s="6">
        <v>90</v>
      </c>
      <c r="B64" s="6" t="s">
        <v>68</v>
      </c>
      <c r="C64" s="7">
        <v>40000</v>
      </c>
      <c r="D64" s="7">
        <v>35500</v>
      </c>
      <c r="E64" s="7">
        <v>4500</v>
      </c>
      <c r="F64" s="7">
        <v>32000</v>
      </c>
      <c r="G64" s="7">
        <v>28500</v>
      </c>
      <c r="H64" s="7">
        <v>3500</v>
      </c>
      <c r="I64" s="6">
        <v>1945</v>
      </c>
      <c r="J64" s="6" t="s">
        <v>117</v>
      </c>
    </row>
    <row r="65" spans="1:10" x14ac:dyDescent="0.25">
      <c r="A65" s="6">
        <v>91</v>
      </c>
      <c r="B65" s="6" t="s">
        <v>69</v>
      </c>
      <c r="C65" s="7">
        <v>54500</v>
      </c>
      <c r="D65" s="7">
        <v>49000</v>
      </c>
      <c r="E65" s="7">
        <v>5500</v>
      </c>
      <c r="F65" s="7">
        <v>43500</v>
      </c>
      <c r="G65" s="7">
        <v>39000</v>
      </c>
      <c r="H65" s="7">
        <v>4500</v>
      </c>
      <c r="I65" s="6">
        <v>1946</v>
      </c>
      <c r="J65" s="6" t="s">
        <v>117</v>
      </c>
    </row>
    <row r="66" spans="1:10" x14ac:dyDescent="0.25">
      <c r="A66" s="6">
        <v>86</v>
      </c>
      <c r="B66" s="6" t="s">
        <v>70</v>
      </c>
      <c r="C66" s="7">
        <v>67000</v>
      </c>
      <c r="D66" s="7">
        <v>53500</v>
      </c>
      <c r="E66" s="7">
        <v>13500</v>
      </c>
      <c r="F66" s="7">
        <v>53500</v>
      </c>
      <c r="G66" s="7">
        <v>42500</v>
      </c>
      <c r="H66" s="7">
        <v>11000</v>
      </c>
      <c r="I66" s="6">
        <v>1941</v>
      </c>
      <c r="J66" s="6" t="s">
        <v>117</v>
      </c>
    </row>
    <row r="67" spans="1:10" x14ac:dyDescent="0.25">
      <c r="A67" s="6">
        <v>88</v>
      </c>
      <c r="B67" s="6" t="s">
        <v>71</v>
      </c>
      <c r="C67" s="7">
        <v>51500</v>
      </c>
      <c r="D67" s="7">
        <v>41000</v>
      </c>
      <c r="E67" s="7">
        <v>10500</v>
      </c>
      <c r="F67" s="7">
        <v>41000</v>
      </c>
      <c r="G67" s="7">
        <v>33000</v>
      </c>
      <c r="H67" s="7">
        <v>8000</v>
      </c>
      <c r="I67" s="6" t="s">
        <v>72</v>
      </c>
      <c r="J67" s="6" t="s">
        <v>117</v>
      </c>
    </row>
    <row r="68" spans="1:10" x14ac:dyDescent="0.25">
      <c r="A68" s="6">
        <v>87</v>
      </c>
      <c r="B68" s="6" t="s">
        <v>73</v>
      </c>
      <c r="C68" s="7">
        <v>54500</v>
      </c>
      <c r="D68" s="7">
        <v>43500</v>
      </c>
      <c r="E68" s="7">
        <v>11000</v>
      </c>
      <c r="F68" s="7">
        <v>43500</v>
      </c>
      <c r="G68" s="7">
        <v>34500</v>
      </c>
      <c r="H68" s="7">
        <v>9000</v>
      </c>
      <c r="I68" s="6">
        <v>1939</v>
      </c>
      <c r="J68" s="6" t="s">
        <v>117</v>
      </c>
    </row>
    <row r="69" spans="1:10" x14ac:dyDescent="0.25">
      <c r="A69" s="6">
        <v>89</v>
      </c>
      <c r="B69" s="6" t="s">
        <v>74</v>
      </c>
      <c r="C69" s="7">
        <v>26000</v>
      </c>
      <c r="D69" s="7">
        <v>21000</v>
      </c>
      <c r="E69" s="7">
        <v>5000</v>
      </c>
      <c r="F69" s="7">
        <v>21000</v>
      </c>
      <c r="G69" s="7">
        <v>16500</v>
      </c>
      <c r="H69" s="7">
        <v>4500</v>
      </c>
      <c r="I69" s="6">
        <v>1943</v>
      </c>
      <c r="J69" s="6" t="s">
        <v>117</v>
      </c>
    </row>
    <row r="70" spans="1:10" x14ac:dyDescent="0.25">
      <c r="A70" s="6">
        <v>28</v>
      </c>
      <c r="B70" s="6" t="s">
        <v>75</v>
      </c>
      <c r="C70" s="7">
        <v>550000</v>
      </c>
      <c r="D70" s="7">
        <v>20500</v>
      </c>
      <c r="E70" s="7">
        <v>13500</v>
      </c>
      <c r="F70" s="7">
        <v>26500</v>
      </c>
      <c r="G70" s="7">
        <v>16000</v>
      </c>
      <c r="H70" s="7">
        <v>10500</v>
      </c>
      <c r="J70" s="6" t="s">
        <v>118</v>
      </c>
    </row>
    <row r="71" spans="1:10" x14ac:dyDescent="0.25">
      <c r="A71" s="6">
        <v>47</v>
      </c>
      <c r="B71" s="6" t="s">
        <v>76</v>
      </c>
      <c r="C71" s="7">
        <v>86000</v>
      </c>
      <c r="D71" s="7">
        <v>43000</v>
      </c>
      <c r="E71" s="7">
        <v>43000</v>
      </c>
      <c r="F71" s="7">
        <v>69000</v>
      </c>
      <c r="G71" s="7">
        <v>34500</v>
      </c>
      <c r="H71" s="7">
        <v>34500</v>
      </c>
      <c r="J71" s="6" t="s">
        <v>118</v>
      </c>
    </row>
    <row r="72" spans="1:10" x14ac:dyDescent="0.25">
      <c r="A72" s="6">
        <v>26</v>
      </c>
      <c r="B72" s="6" t="s">
        <v>77</v>
      </c>
      <c r="C72" s="7">
        <v>86000</v>
      </c>
      <c r="D72" s="7">
        <v>51500</v>
      </c>
      <c r="E72" s="7">
        <v>34500</v>
      </c>
      <c r="F72" s="7">
        <v>66500</v>
      </c>
      <c r="G72" s="7">
        <v>40000</v>
      </c>
      <c r="H72" s="7">
        <v>26500</v>
      </c>
      <c r="I72" s="6">
        <v>2876</v>
      </c>
      <c r="J72" s="6" t="s">
        <v>118</v>
      </c>
    </row>
    <row r="73" spans="1:10" x14ac:dyDescent="0.25">
      <c r="A73" s="6">
        <v>27</v>
      </c>
      <c r="B73" s="6" t="s">
        <v>78</v>
      </c>
      <c r="C73" s="7">
        <v>103000</v>
      </c>
      <c r="D73" s="7">
        <v>62000</v>
      </c>
      <c r="E73" s="7">
        <v>41000</v>
      </c>
      <c r="F73" s="7">
        <v>82500</v>
      </c>
      <c r="G73" s="7">
        <v>49500</v>
      </c>
      <c r="H73" s="7">
        <v>33000</v>
      </c>
      <c r="I73" s="6">
        <v>6459</v>
      </c>
      <c r="J73" s="6" t="s">
        <v>118</v>
      </c>
    </row>
    <row r="74" spans="1:10" x14ac:dyDescent="0.25">
      <c r="A74" s="6">
        <v>42</v>
      </c>
      <c r="B74" s="6" t="s">
        <v>79</v>
      </c>
      <c r="C74" s="7">
        <v>99000</v>
      </c>
      <c r="D74" s="7">
        <v>64500</v>
      </c>
      <c r="E74" s="7">
        <v>34500</v>
      </c>
      <c r="F74" s="7">
        <v>79000</v>
      </c>
      <c r="G74" s="7">
        <v>51500</v>
      </c>
      <c r="H74" s="7">
        <v>27500</v>
      </c>
      <c r="I74" s="6">
        <v>2142</v>
      </c>
      <c r="J74" s="6" t="s">
        <v>118</v>
      </c>
    </row>
    <row r="75" spans="1:10" x14ac:dyDescent="0.25">
      <c r="A75" s="6">
        <v>39</v>
      </c>
      <c r="B75" s="6" t="s">
        <v>80</v>
      </c>
      <c r="C75" s="7">
        <v>52000</v>
      </c>
      <c r="D75" s="7">
        <v>34000</v>
      </c>
      <c r="E75" s="7">
        <v>18000</v>
      </c>
      <c r="F75" s="7">
        <v>40500</v>
      </c>
      <c r="G75" s="7">
        <v>26500</v>
      </c>
      <c r="H75" s="7">
        <v>14000</v>
      </c>
      <c r="I75" s="6">
        <v>1888</v>
      </c>
      <c r="J75" s="6" t="s">
        <v>118</v>
      </c>
    </row>
    <row r="76" spans="1:10" x14ac:dyDescent="0.25">
      <c r="A76" s="6">
        <v>31</v>
      </c>
      <c r="B76" s="6" t="s">
        <v>81</v>
      </c>
      <c r="C76" s="7">
        <v>77000</v>
      </c>
      <c r="D76" s="7">
        <v>50000</v>
      </c>
      <c r="E76" s="7">
        <v>27000</v>
      </c>
      <c r="F76" s="7">
        <v>61500</v>
      </c>
      <c r="G76" s="7">
        <v>40000</v>
      </c>
      <c r="H76" s="7">
        <v>21500</v>
      </c>
      <c r="I76" s="6">
        <v>7292</v>
      </c>
      <c r="J76" s="6" t="s">
        <v>118</v>
      </c>
    </row>
    <row r="77" spans="1:10" x14ac:dyDescent="0.25">
      <c r="A77" s="6">
        <v>32</v>
      </c>
      <c r="B77" s="6" t="s">
        <v>82</v>
      </c>
      <c r="C77" s="7">
        <v>94000</v>
      </c>
      <c r="D77" s="7">
        <v>61000</v>
      </c>
      <c r="E77" s="7">
        <v>33000</v>
      </c>
      <c r="F77" s="7">
        <v>75000</v>
      </c>
      <c r="G77" s="7">
        <v>48500</v>
      </c>
      <c r="H77" s="7">
        <v>26500</v>
      </c>
      <c r="I77" s="6">
        <v>7293</v>
      </c>
      <c r="J77" s="6" t="s">
        <v>118</v>
      </c>
    </row>
    <row r="78" spans="1:10" x14ac:dyDescent="0.25">
      <c r="A78" s="6">
        <v>24</v>
      </c>
      <c r="B78" s="6" t="s">
        <v>83</v>
      </c>
      <c r="C78" s="7">
        <v>77000</v>
      </c>
      <c r="D78" s="7">
        <v>50000</v>
      </c>
      <c r="E78" s="7">
        <v>27000</v>
      </c>
      <c r="F78" s="7">
        <v>61500</v>
      </c>
      <c r="G78" s="7">
        <v>40000</v>
      </c>
      <c r="H78" s="7">
        <v>21500</v>
      </c>
      <c r="J78" s="6" t="s">
        <v>118</v>
      </c>
    </row>
    <row r="79" spans="1:10" x14ac:dyDescent="0.25">
      <c r="A79" s="6">
        <v>25</v>
      </c>
      <c r="B79" s="6" t="s">
        <v>84</v>
      </c>
      <c r="C79" s="7">
        <v>77000</v>
      </c>
      <c r="D79" s="7">
        <v>46000</v>
      </c>
      <c r="E79" s="7">
        <v>31000</v>
      </c>
      <c r="F79" s="7">
        <v>61500</v>
      </c>
      <c r="G79" s="7">
        <v>40000</v>
      </c>
      <c r="H79" s="7">
        <v>21500</v>
      </c>
      <c r="J79" s="6" t="s">
        <v>118</v>
      </c>
    </row>
    <row r="80" spans="1:10" x14ac:dyDescent="0.25">
      <c r="A80" s="6">
        <v>30</v>
      </c>
      <c r="B80" s="6" t="s">
        <v>85</v>
      </c>
      <c r="C80" s="7">
        <v>77000</v>
      </c>
      <c r="D80" s="7">
        <v>50000</v>
      </c>
      <c r="E80" s="7">
        <v>27000</v>
      </c>
      <c r="F80" s="7">
        <v>61500</v>
      </c>
      <c r="G80" s="7">
        <v>40000</v>
      </c>
      <c r="H80" s="7">
        <v>21500</v>
      </c>
      <c r="I80" s="6">
        <v>1887</v>
      </c>
      <c r="J80" s="6" t="s">
        <v>118</v>
      </c>
    </row>
    <row r="81" spans="1:10" x14ac:dyDescent="0.25">
      <c r="A81" s="6">
        <v>43</v>
      </c>
      <c r="B81" s="6" t="s">
        <v>86</v>
      </c>
      <c r="C81" s="7">
        <v>77000</v>
      </c>
      <c r="D81" s="7">
        <v>50000</v>
      </c>
      <c r="E81" s="7">
        <v>27000</v>
      </c>
      <c r="F81" s="7">
        <v>61500</v>
      </c>
      <c r="G81" s="7">
        <v>40000</v>
      </c>
      <c r="H81" s="7">
        <v>21500</v>
      </c>
      <c r="I81" s="6">
        <v>2444</v>
      </c>
      <c r="J81" s="6" t="s">
        <v>118</v>
      </c>
    </row>
    <row r="82" spans="1:10" x14ac:dyDescent="0.25">
      <c r="A82" s="6">
        <v>44</v>
      </c>
      <c r="B82" s="6" t="s">
        <v>87</v>
      </c>
      <c r="C82" s="7">
        <v>77000</v>
      </c>
      <c r="D82" s="7">
        <v>50000</v>
      </c>
      <c r="E82" s="7">
        <v>27000</v>
      </c>
      <c r="F82" s="7">
        <v>61500</v>
      </c>
      <c r="G82" s="7">
        <v>40000</v>
      </c>
      <c r="H82" s="7">
        <v>21500</v>
      </c>
      <c r="J82" s="6" t="s">
        <v>118</v>
      </c>
    </row>
    <row r="83" spans="1:10" x14ac:dyDescent="0.25">
      <c r="A83" s="6">
        <v>36</v>
      </c>
      <c r="B83" s="6" t="s">
        <v>88</v>
      </c>
      <c r="C83" s="7">
        <v>77000</v>
      </c>
      <c r="D83" s="7">
        <v>50000</v>
      </c>
      <c r="E83" s="7">
        <v>27000</v>
      </c>
      <c r="F83" s="7">
        <v>61500</v>
      </c>
      <c r="G83" s="7">
        <v>40000</v>
      </c>
      <c r="H83" s="7">
        <v>21500</v>
      </c>
      <c r="I83" s="6">
        <v>6321</v>
      </c>
      <c r="J83" s="6" t="s">
        <v>118</v>
      </c>
    </row>
    <row r="84" spans="1:10" x14ac:dyDescent="0.25">
      <c r="A84" s="6">
        <v>35</v>
      </c>
      <c r="B84" s="6" t="s">
        <v>89</v>
      </c>
      <c r="C84" s="7">
        <v>123000</v>
      </c>
      <c r="D84" s="7">
        <v>80000</v>
      </c>
      <c r="E84" s="7">
        <v>43000</v>
      </c>
      <c r="F84" s="7">
        <v>99000</v>
      </c>
      <c r="G84" s="7">
        <v>64500</v>
      </c>
      <c r="H84" s="7">
        <v>34500</v>
      </c>
      <c r="I84" s="6">
        <v>1866</v>
      </c>
      <c r="J84" s="6" t="s">
        <v>118</v>
      </c>
    </row>
    <row r="85" spans="1:10" x14ac:dyDescent="0.25">
      <c r="A85" s="6">
        <v>38</v>
      </c>
      <c r="B85" s="6" t="s">
        <v>90</v>
      </c>
      <c r="C85" s="7">
        <v>116000</v>
      </c>
      <c r="D85" s="7">
        <v>75500</v>
      </c>
      <c r="E85" s="7">
        <v>40500</v>
      </c>
      <c r="F85" s="7">
        <v>90500</v>
      </c>
      <c r="G85" s="7">
        <v>58500</v>
      </c>
      <c r="H85" s="7">
        <v>32000</v>
      </c>
      <c r="I85" s="6">
        <v>1867</v>
      </c>
      <c r="J85" s="6" t="s">
        <v>118</v>
      </c>
    </row>
    <row r="86" spans="1:10" x14ac:dyDescent="0.25">
      <c r="A86" s="6">
        <v>37</v>
      </c>
      <c r="B86" s="6" t="s">
        <v>91</v>
      </c>
      <c r="C86" s="7">
        <v>185000</v>
      </c>
      <c r="D86" s="7">
        <v>120000</v>
      </c>
      <c r="E86" s="7">
        <v>65000</v>
      </c>
      <c r="F86" s="7">
        <v>148000</v>
      </c>
      <c r="G86" s="7">
        <v>142800</v>
      </c>
      <c r="H86" s="7">
        <v>5200</v>
      </c>
      <c r="J86" s="6" t="s">
        <v>118</v>
      </c>
    </row>
    <row r="87" spans="1:10" x14ac:dyDescent="0.25">
      <c r="A87" s="6">
        <v>93</v>
      </c>
      <c r="B87" s="6" t="s">
        <v>92</v>
      </c>
      <c r="C87" s="7">
        <v>185500</v>
      </c>
      <c r="D87" s="7">
        <v>92500</v>
      </c>
      <c r="E87" s="7">
        <v>93000</v>
      </c>
      <c r="F87" s="7">
        <v>148500</v>
      </c>
      <c r="G87" s="7">
        <v>74000</v>
      </c>
      <c r="H87" s="7">
        <v>74500</v>
      </c>
      <c r="J87" s="6" t="s">
        <v>118</v>
      </c>
    </row>
    <row r="88" spans="1:10" x14ac:dyDescent="0.25">
      <c r="A88" s="6">
        <v>29</v>
      </c>
      <c r="B88" s="6" t="s">
        <v>93</v>
      </c>
      <c r="C88" s="7">
        <v>77000</v>
      </c>
      <c r="D88" s="7">
        <v>50000</v>
      </c>
      <c r="E88" s="7">
        <v>27000</v>
      </c>
      <c r="F88" s="7">
        <v>61500</v>
      </c>
      <c r="G88" s="7">
        <v>40000</v>
      </c>
      <c r="H88" s="7">
        <v>21500</v>
      </c>
      <c r="J88" s="6" t="s">
        <v>118</v>
      </c>
    </row>
    <row r="89" spans="1:10" x14ac:dyDescent="0.25">
      <c r="A89" s="6">
        <v>40</v>
      </c>
      <c r="B89" s="6" t="s">
        <v>94</v>
      </c>
      <c r="C89" s="7">
        <v>77000</v>
      </c>
      <c r="D89" s="7">
        <v>50000</v>
      </c>
      <c r="E89" s="7">
        <v>27000</v>
      </c>
      <c r="F89" s="7">
        <v>61500</v>
      </c>
      <c r="G89" s="7">
        <v>40000</v>
      </c>
      <c r="H89" s="7">
        <v>21500</v>
      </c>
      <c r="I89" s="6">
        <v>1882</v>
      </c>
      <c r="J89" s="6" t="s">
        <v>118</v>
      </c>
    </row>
    <row r="90" spans="1:10" x14ac:dyDescent="0.25">
      <c r="A90" s="6">
        <v>92</v>
      </c>
      <c r="B90" s="6" t="s">
        <v>95</v>
      </c>
      <c r="C90" s="7">
        <v>67000</v>
      </c>
      <c r="D90" s="7">
        <v>43500</v>
      </c>
      <c r="E90" s="7">
        <v>23500</v>
      </c>
      <c r="F90" s="7">
        <v>53500</v>
      </c>
      <c r="G90" s="7">
        <v>34500</v>
      </c>
      <c r="H90" s="7">
        <v>19000</v>
      </c>
      <c r="J90" s="6" t="s">
        <v>118</v>
      </c>
    </row>
    <row r="91" spans="1:10" x14ac:dyDescent="0.25">
      <c r="A91" s="6">
        <v>41</v>
      </c>
      <c r="B91" s="6" t="s">
        <v>96</v>
      </c>
      <c r="C91" s="7">
        <v>77000</v>
      </c>
      <c r="D91" s="7">
        <v>50000</v>
      </c>
      <c r="E91" s="7">
        <v>27000</v>
      </c>
      <c r="F91" s="7">
        <v>61500</v>
      </c>
      <c r="G91" s="7">
        <v>40000</v>
      </c>
      <c r="H91" s="7">
        <v>21500</v>
      </c>
      <c r="I91" s="6">
        <v>1890</v>
      </c>
      <c r="J91" s="6" t="s">
        <v>118</v>
      </c>
    </row>
    <row r="92" spans="1:10" x14ac:dyDescent="0.25">
      <c r="A92" s="6">
        <v>46</v>
      </c>
      <c r="B92" s="6" t="s">
        <v>97</v>
      </c>
      <c r="C92" s="7">
        <v>86000</v>
      </c>
      <c r="D92" s="7">
        <v>56000</v>
      </c>
      <c r="E92" s="7">
        <v>30000</v>
      </c>
      <c r="F92" s="7">
        <v>69000</v>
      </c>
      <c r="G92" s="7">
        <v>45000</v>
      </c>
      <c r="H92" s="7">
        <v>24000</v>
      </c>
      <c r="J92" s="6" t="s">
        <v>118</v>
      </c>
    </row>
    <row r="93" spans="1:10" x14ac:dyDescent="0.25">
      <c r="A93" s="6">
        <v>33</v>
      </c>
      <c r="B93" s="6" t="s">
        <v>98</v>
      </c>
      <c r="C93" s="7">
        <v>77000</v>
      </c>
      <c r="D93" s="7">
        <v>50000</v>
      </c>
      <c r="E93" s="7">
        <v>27000</v>
      </c>
      <c r="F93" s="7">
        <v>61500</v>
      </c>
      <c r="G93" s="7">
        <v>40000</v>
      </c>
      <c r="H93" s="7">
        <v>21500</v>
      </c>
      <c r="I93" s="6">
        <v>1909</v>
      </c>
      <c r="J93" s="6" t="s">
        <v>118</v>
      </c>
    </row>
    <row r="94" spans="1:10" x14ac:dyDescent="0.25">
      <c r="A94" s="6">
        <v>34</v>
      </c>
      <c r="B94" s="6" t="s">
        <v>99</v>
      </c>
      <c r="C94" s="7">
        <v>94000</v>
      </c>
      <c r="D94" s="7">
        <v>61000</v>
      </c>
      <c r="E94" s="7">
        <v>33000</v>
      </c>
      <c r="F94" s="7">
        <v>75000</v>
      </c>
      <c r="G94" s="7">
        <v>48500</v>
      </c>
      <c r="H94" s="7">
        <v>26500</v>
      </c>
      <c r="I94" s="6">
        <v>1910</v>
      </c>
      <c r="J94" s="6" t="s">
        <v>118</v>
      </c>
    </row>
    <row r="95" spans="1:10" x14ac:dyDescent="0.25">
      <c r="A95" s="6">
        <v>45</v>
      </c>
      <c r="B95" s="6" t="s">
        <v>100</v>
      </c>
      <c r="C95" s="7">
        <v>68500</v>
      </c>
      <c r="D95" s="7">
        <v>44500</v>
      </c>
      <c r="E95" s="7">
        <v>24000</v>
      </c>
      <c r="F95" s="7">
        <v>55000</v>
      </c>
      <c r="G95" s="7">
        <v>35500</v>
      </c>
      <c r="H95" s="7">
        <v>19500</v>
      </c>
      <c r="J95" s="6" t="s">
        <v>118</v>
      </c>
    </row>
    <row r="96" spans="1:10" x14ac:dyDescent="0.25">
      <c r="A96" s="6">
        <v>96</v>
      </c>
      <c r="B96" s="6" t="s">
        <v>101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J96" s="6" t="s">
        <v>119</v>
      </c>
    </row>
    <row r="97" spans="1:10" x14ac:dyDescent="0.25">
      <c r="A97" s="6">
        <v>97</v>
      </c>
      <c r="B97" s="6" t="s">
        <v>102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J97" s="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87CB-5D4C-48C2-B8A9-EDA1B8BDA4AF}">
  <dimension ref="A1:K29"/>
  <sheetViews>
    <sheetView workbookViewId="0">
      <selection activeCell="F5" sqref="F5"/>
    </sheetView>
  </sheetViews>
  <sheetFormatPr baseColWidth="10" defaultRowHeight="15" x14ac:dyDescent="0.25"/>
  <cols>
    <col min="1" max="1" width="38.5703125" customWidth="1"/>
    <col min="2" max="2" width="19.42578125" customWidth="1"/>
    <col min="3" max="3" width="16.7109375" bestFit="1" customWidth="1"/>
    <col min="4" max="4" width="15.7109375" bestFit="1" customWidth="1"/>
    <col min="5" max="5" width="14.42578125" bestFit="1" customWidth="1"/>
    <col min="6" max="6" width="17.7109375" bestFit="1" customWidth="1"/>
    <col min="7" max="7" width="16.85546875" bestFit="1" customWidth="1"/>
    <col min="8" max="8" width="18.28515625" bestFit="1" customWidth="1"/>
  </cols>
  <sheetData>
    <row r="1" spans="1:11" x14ac:dyDescent="0.25">
      <c r="A1" s="4" t="s">
        <v>0</v>
      </c>
      <c r="B1" t="s">
        <v>109</v>
      </c>
      <c r="J1" t="s">
        <v>103</v>
      </c>
    </row>
    <row r="2" spans="1:11" x14ac:dyDescent="0.25">
      <c r="A2" s="4" t="s">
        <v>120</v>
      </c>
      <c r="B2" t="s">
        <v>110</v>
      </c>
      <c r="J2">
        <f>GENERAL!A2</f>
        <v>1</v>
      </c>
      <c r="K2">
        <f>MAX(GENERAL!A:A)</f>
        <v>97</v>
      </c>
    </row>
    <row r="4" spans="1:11" x14ac:dyDescent="0.25">
      <c r="B4" s="4" t="s">
        <v>105</v>
      </c>
    </row>
    <row r="5" spans="1:11" x14ac:dyDescent="0.25">
      <c r="A5" s="4" t="s">
        <v>1</v>
      </c>
      <c r="B5" t="s">
        <v>107</v>
      </c>
      <c r="C5" t="s">
        <v>106</v>
      </c>
      <c r="D5" t="s">
        <v>108</v>
      </c>
      <c r="E5" s="9" t="s">
        <v>121</v>
      </c>
      <c r="F5" t="s">
        <v>122</v>
      </c>
      <c r="G5" t="s">
        <v>123</v>
      </c>
    </row>
    <row r="6" spans="1:11" ht="29.25" customHeight="1" x14ac:dyDescent="0.25">
      <c r="A6" t="s">
        <v>6</v>
      </c>
      <c r="B6" s="8">
        <v>53000</v>
      </c>
      <c r="C6" s="8">
        <v>31500</v>
      </c>
      <c r="D6" s="8">
        <v>17000</v>
      </c>
      <c r="E6" s="8">
        <v>39000</v>
      </c>
      <c r="F6" s="8">
        <v>25500</v>
      </c>
      <c r="G6" s="8">
        <v>13500</v>
      </c>
    </row>
    <row r="7" spans="1:11" x14ac:dyDescent="0.25">
      <c r="A7" t="s">
        <v>7</v>
      </c>
      <c r="B7" s="8">
        <v>46000</v>
      </c>
      <c r="C7" s="8">
        <v>30000</v>
      </c>
      <c r="D7" s="8">
        <v>16000</v>
      </c>
      <c r="E7" s="8">
        <v>37000</v>
      </c>
      <c r="F7" s="8">
        <v>24000</v>
      </c>
      <c r="G7" s="8">
        <v>13000</v>
      </c>
    </row>
    <row r="8" spans="1:11" x14ac:dyDescent="0.25">
      <c r="A8" t="s">
        <v>8</v>
      </c>
      <c r="B8" s="8">
        <v>46000</v>
      </c>
      <c r="C8" s="8">
        <v>30000</v>
      </c>
      <c r="D8" s="8">
        <v>16000</v>
      </c>
      <c r="E8" s="8">
        <v>37000</v>
      </c>
      <c r="F8" s="8">
        <v>24000</v>
      </c>
      <c r="G8" s="8">
        <v>13000</v>
      </c>
    </row>
    <row r="9" spans="1:11" x14ac:dyDescent="0.25">
      <c r="A9" t="s">
        <v>9</v>
      </c>
      <c r="B9" s="8">
        <v>60000</v>
      </c>
      <c r="C9" s="8">
        <v>36000</v>
      </c>
      <c r="D9" s="8">
        <v>24000</v>
      </c>
      <c r="E9" s="8">
        <v>46500</v>
      </c>
      <c r="F9" s="8">
        <v>28000</v>
      </c>
      <c r="G9" s="8">
        <v>18500</v>
      </c>
    </row>
    <row r="10" spans="1:11" x14ac:dyDescent="0.25">
      <c r="A10" t="s">
        <v>10</v>
      </c>
      <c r="B10" s="8">
        <v>46000</v>
      </c>
      <c r="C10" s="8">
        <v>23000</v>
      </c>
      <c r="D10" s="8">
        <v>23000</v>
      </c>
      <c r="E10" s="8">
        <v>37000</v>
      </c>
      <c r="F10" s="8">
        <v>18500</v>
      </c>
      <c r="G10" s="8">
        <v>18500</v>
      </c>
    </row>
    <row r="11" spans="1:11" x14ac:dyDescent="0.25">
      <c r="A11" t="s">
        <v>11</v>
      </c>
      <c r="B11" s="8">
        <v>46000</v>
      </c>
      <c r="C11" s="8">
        <v>30000</v>
      </c>
      <c r="D11" s="8">
        <v>16000</v>
      </c>
      <c r="E11" s="8">
        <v>37000</v>
      </c>
      <c r="F11" s="8">
        <v>24000</v>
      </c>
      <c r="G11" s="8">
        <v>13000</v>
      </c>
    </row>
    <row r="12" spans="1:11" x14ac:dyDescent="0.25">
      <c r="A12" t="s">
        <v>12</v>
      </c>
      <c r="B12" s="8">
        <v>46000</v>
      </c>
      <c r="C12" s="8">
        <v>30000</v>
      </c>
      <c r="D12" s="8">
        <v>16000</v>
      </c>
      <c r="E12" s="8">
        <v>37000</v>
      </c>
      <c r="F12" s="8">
        <v>24000</v>
      </c>
      <c r="G12" s="8">
        <v>13000</v>
      </c>
    </row>
    <row r="13" spans="1:11" x14ac:dyDescent="0.25">
      <c r="A13" t="s">
        <v>13</v>
      </c>
      <c r="B13" s="8">
        <v>46000</v>
      </c>
      <c r="C13" s="8">
        <v>30000</v>
      </c>
      <c r="D13" s="8">
        <v>16000</v>
      </c>
      <c r="E13" s="8">
        <v>37000</v>
      </c>
      <c r="F13" s="8">
        <v>24000</v>
      </c>
      <c r="G13" s="8">
        <v>13000</v>
      </c>
    </row>
    <row r="14" spans="1:11" x14ac:dyDescent="0.25">
      <c r="A14" t="s">
        <v>14</v>
      </c>
      <c r="B14" s="8">
        <v>46000</v>
      </c>
      <c r="C14" s="8">
        <v>30000</v>
      </c>
      <c r="D14" s="8">
        <v>16000</v>
      </c>
      <c r="E14" s="8">
        <v>37000</v>
      </c>
      <c r="F14" s="8">
        <v>24000</v>
      </c>
      <c r="G14" s="8">
        <v>13000</v>
      </c>
    </row>
    <row r="15" spans="1:11" x14ac:dyDescent="0.25">
      <c r="A15" t="s">
        <v>16</v>
      </c>
      <c r="B15" s="8">
        <v>46000</v>
      </c>
      <c r="C15" s="8">
        <v>30000</v>
      </c>
      <c r="D15" s="8">
        <v>16000</v>
      </c>
      <c r="E15" s="8">
        <v>37000</v>
      </c>
      <c r="F15" s="8">
        <v>24000</v>
      </c>
      <c r="G15" s="8">
        <v>13000</v>
      </c>
    </row>
    <row r="16" spans="1:11" x14ac:dyDescent="0.25">
      <c r="A16" t="s">
        <v>17</v>
      </c>
      <c r="B16" s="8">
        <v>68500</v>
      </c>
      <c r="C16" s="8">
        <v>44500</v>
      </c>
      <c r="D16" s="8">
        <v>24000</v>
      </c>
      <c r="E16" s="8">
        <v>53000</v>
      </c>
      <c r="F16" s="8">
        <v>34500</v>
      </c>
      <c r="G16" s="8">
        <v>18500</v>
      </c>
    </row>
    <row r="17" spans="1:7" x14ac:dyDescent="0.25">
      <c r="A17" t="s">
        <v>18</v>
      </c>
      <c r="B17" s="8">
        <v>46000</v>
      </c>
      <c r="C17" s="8">
        <v>30000</v>
      </c>
      <c r="D17" s="8">
        <v>16000</v>
      </c>
      <c r="E17" s="8">
        <v>37000</v>
      </c>
      <c r="F17" s="8">
        <v>24000</v>
      </c>
      <c r="G17" s="8">
        <v>13000</v>
      </c>
    </row>
    <row r="18" spans="1:7" x14ac:dyDescent="0.25">
      <c r="A18" t="s">
        <v>19</v>
      </c>
      <c r="B18" s="8">
        <v>46000</v>
      </c>
      <c r="C18" s="8">
        <v>30000</v>
      </c>
      <c r="D18" s="8">
        <v>16000</v>
      </c>
      <c r="E18" s="8">
        <v>37000</v>
      </c>
      <c r="F18" s="8">
        <v>24000</v>
      </c>
      <c r="G18" s="8">
        <v>13000</v>
      </c>
    </row>
    <row r="19" spans="1:7" x14ac:dyDescent="0.25">
      <c r="A19" t="s">
        <v>20</v>
      </c>
      <c r="B19" s="8">
        <v>74500</v>
      </c>
      <c r="C19" s="8">
        <v>48500</v>
      </c>
      <c r="D19" s="8">
        <v>26000</v>
      </c>
      <c r="E19" s="8">
        <v>57500</v>
      </c>
      <c r="F19" s="8">
        <v>37500</v>
      </c>
      <c r="G19" s="8">
        <v>20000</v>
      </c>
    </row>
    <row r="20" spans="1:7" x14ac:dyDescent="0.25">
      <c r="A20" t="s">
        <v>21</v>
      </c>
      <c r="B20" s="8">
        <v>46000</v>
      </c>
      <c r="C20" s="8">
        <v>30000</v>
      </c>
      <c r="D20" s="8">
        <v>16000</v>
      </c>
      <c r="E20" s="8">
        <v>37000</v>
      </c>
      <c r="F20" s="8">
        <v>24000</v>
      </c>
      <c r="G20" s="8">
        <v>13000</v>
      </c>
    </row>
    <row r="21" spans="1:7" x14ac:dyDescent="0.25">
      <c r="A21" t="s">
        <v>22</v>
      </c>
      <c r="B21" s="8">
        <v>69000</v>
      </c>
      <c r="C21" s="8">
        <v>45000</v>
      </c>
      <c r="D21" s="8">
        <v>24000</v>
      </c>
      <c r="E21" s="8">
        <v>55000</v>
      </c>
      <c r="F21" s="8">
        <v>19000</v>
      </c>
      <c r="G21" s="8">
        <v>36000</v>
      </c>
    </row>
    <row r="22" spans="1:7" x14ac:dyDescent="0.25">
      <c r="A22" t="s">
        <v>23</v>
      </c>
      <c r="B22" s="8">
        <v>46000</v>
      </c>
      <c r="C22" s="8">
        <v>30000</v>
      </c>
      <c r="D22" s="8">
        <v>16000</v>
      </c>
      <c r="E22" s="8">
        <v>37000</v>
      </c>
      <c r="F22" s="8">
        <v>24000</v>
      </c>
      <c r="G22" s="8">
        <v>13000</v>
      </c>
    </row>
    <row r="23" spans="1:7" x14ac:dyDescent="0.25">
      <c r="A23" t="s">
        <v>24</v>
      </c>
      <c r="B23" s="8">
        <v>74000</v>
      </c>
      <c r="C23" s="8">
        <v>48000</v>
      </c>
      <c r="D23" s="8">
        <v>26000</v>
      </c>
      <c r="E23" s="8">
        <v>57500</v>
      </c>
      <c r="F23" s="8">
        <v>55500</v>
      </c>
      <c r="G23" s="8">
        <v>2000</v>
      </c>
    </row>
    <row r="24" spans="1:7" x14ac:dyDescent="0.25">
      <c r="A24" t="s">
        <v>25</v>
      </c>
      <c r="B24" s="8">
        <v>46000</v>
      </c>
      <c r="C24" s="8">
        <v>30000</v>
      </c>
      <c r="D24" s="8">
        <v>16000</v>
      </c>
      <c r="E24" s="8">
        <v>37000</v>
      </c>
      <c r="F24" s="8">
        <v>24000</v>
      </c>
      <c r="G24" s="8">
        <v>13000</v>
      </c>
    </row>
    <row r="25" spans="1:7" x14ac:dyDescent="0.25">
      <c r="A25" t="s">
        <v>26</v>
      </c>
      <c r="B25" s="8">
        <v>46000</v>
      </c>
      <c r="C25" s="8">
        <v>30000</v>
      </c>
      <c r="D25" s="8">
        <v>16000</v>
      </c>
      <c r="E25" s="8">
        <v>37000</v>
      </c>
      <c r="F25" s="8">
        <v>24000</v>
      </c>
      <c r="G25" s="8">
        <v>13000</v>
      </c>
    </row>
    <row r="26" spans="1:7" x14ac:dyDescent="0.25">
      <c r="A26" t="s">
        <v>27</v>
      </c>
      <c r="B26" s="8">
        <v>46000</v>
      </c>
      <c r="C26" s="8">
        <v>30000</v>
      </c>
      <c r="D26" s="8">
        <v>16000</v>
      </c>
      <c r="E26" s="8">
        <v>37000</v>
      </c>
      <c r="F26" s="8">
        <v>24000</v>
      </c>
      <c r="G26" s="8">
        <v>13000</v>
      </c>
    </row>
    <row r="27" spans="1:7" x14ac:dyDescent="0.25">
      <c r="A27" t="s">
        <v>28</v>
      </c>
      <c r="B27" s="8">
        <v>46000</v>
      </c>
      <c r="C27" s="8">
        <v>30000</v>
      </c>
      <c r="D27" s="8">
        <v>16000</v>
      </c>
      <c r="E27" s="8">
        <v>37000</v>
      </c>
      <c r="F27" s="8">
        <v>24000</v>
      </c>
      <c r="G27" s="8">
        <v>13000</v>
      </c>
    </row>
    <row r="28" spans="1:7" x14ac:dyDescent="0.25">
      <c r="A28" t="s">
        <v>29</v>
      </c>
      <c r="B28" s="8">
        <v>46000</v>
      </c>
      <c r="C28" s="8">
        <v>30000</v>
      </c>
      <c r="D28" s="8">
        <v>16000</v>
      </c>
      <c r="E28" s="8">
        <v>37000</v>
      </c>
      <c r="F28" s="8">
        <v>24000</v>
      </c>
      <c r="G28" s="8">
        <v>13000</v>
      </c>
    </row>
    <row r="29" spans="1:7" x14ac:dyDescent="0.25">
      <c r="A29" t="s">
        <v>104</v>
      </c>
      <c r="B29" s="8">
        <v>1181000</v>
      </c>
      <c r="C29" s="8">
        <v>756500</v>
      </c>
      <c r="D29" s="8">
        <v>420000</v>
      </c>
      <c r="E29" s="8">
        <v>937500</v>
      </c>
      <c r="F29" s="8">
        <v>602500</v>
      </c>
      <c r="G29" s="8">
        <v>335000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1368-137D-4FF6-9BF2-31C32146F6C7}">
  <dimension ref="A1:K32"/>
  <sheetViews>
    <sheetView tabSelected="1" workbookViewId="0">
      <selection activeCell="D18" sqref="D18"/>
    </sheetView>
  </sheetViews>
  <sheetFormatPr baseColWidth="10" defaultRowHeight="15" x14ac:dyDescent="0.25"/>
  <cols>
    <col min="1" max="1" width="49.5703125" bestFit="1" customWidth="1"/>
    <col min="2" max="2" width="14.85546875" bestFit="1" customWidth="1"/>
    <col min="3" max="3" width="16.7109375" bestFit="1" customWidth="1"/>
    <col min="4" max="4" width="15.7109375" bestFit="1" customWidth="1"/>
    <col min="5" max="5" width="14.42578125" bestFit="1" customWidth="1"/>
    <col min="6" max="6" width="17.7109375" bestFit="1" customWidth="1"/>
    <col min="7" max="7" width="16.85546875" bestFit="1" customWidth="1"/>
    <col min="8" max="8" width="18.28515625" bestFit="1" customWidth="1"/>
  </cols>
  <sheetData>
    <row r="1" spans="1:11" x14ac:dyDescent="0.25">
      <c r="A1" s="4" t="s">
        <v>0</v>
      </c>
      <c r="B1" t="s">
        <v>109</v>
      </c>
      <c r="J1" t="s">
        <v>103</v>
      </c>
    </row>
    <row r="2" spans="1:11" x14ac:dyDescent="0.25">
      <c r="A2" s="4" t="s">
        <v>120</v>
      </c>
      <c r="B2" t="s">
        <v>118</v>
      </c>
      <c r="J2">
        <f>GENERAL!A2</f>
        <v>1</v>
      </c>
      <c r="K2">
        <f>MAX(GENERAL!A:A)</f>
        <v>97</v>
      </c>
    </row>
    <row r="4" spans="1:11" x14ac:dyDescent="0.25">
      <c r="B4" s="4" t="s">
        <v>105</v>
      </c>
    </row>
    <row r="5" spans="1:11" x14ac:dyDescent="0.25">
      <c r="A5" s="4" t="s">
        <v>1</v>
      </c>
      <c r="B5" t="s">
        <v>107</v>
      </c>
      <c r="C5" t="s">
        <v>106</v>
      </c>
      <c r="D5" t="s">
        <v>108</v>
      </c>
      <c r="E5" t="s">
        <v>121</v>
      </c>
      <c r="F5" t="s">
        <v>122</v>
      </c>
      <c r="G5" t="s">
        <v>123</v>
      </c>
    </row>
    <row r="6" spans="1:11" ht="29.25" customHeight="1" x14ac:dyDescent="0.25">
      <c r="A6" t="s">
        <v>75</v>
      </c>
      <c r="B6" s="8">
        <v>550000</v>
      </c>
      <c r="C6" s="8">
        <v>20500</v>
      </c>
      <c r="D6" s="8">
        <v>13500</v>
      </c>
      <c r="E6" s="8">
        <v>26500</v>
      </c>
      <c r="F6" s="8">
        <v>16000</v>
      </c>
      <c r="G6" s="8">
        <v>10500</v>
      </c>
    </row>
    <row r="7" spans="1:11" x14ac:dyDescent="0.25">
      <c r="A7" t="s">
        <v>76</v>
      </c>
      <c r="B7" s="8">
        <v>86000</v>
      </c>
      <c r="C7" s="8">
        <v>43000</v>
      </c>
      <c r="D7" s="8">
        <v>43000</v>
      </c>
      <c r="E7" s="8">
        <v>69000</v>
      </c>
      <c r="F7" s="8">
        <v>34500</v>
      </c>
      <c r="G7" s="8">
        <v>34500</v>
      </c>
    </row>
    <row r="8" spans="1:11" x14ac:dyDescent="0.25">
      <c r="A8" t="s">
        <v>77</v>
      </c>
      <c r="B8" s="8">
        <v>86000</v>
      </c>
      <c r="C8" s="8">
        <v>51500</v>
      </c>
      <c r="D8" s="8">
        <v>34500</v>
      </c>
      <c r="E8" s="8">
        <v>66500</v>
      </c>
      <c r="F8" s="8">
        <v>40000</v>
      </c>
      <c r="G8" s="8">
        <v>26500</v>
      </c>
    </row>
    <row r="9" spans="1:11" x14ac:dyDescent="0.25">
      <c r="A9" t="s">
        <v>78</v>
      </c>
      <c r="B9" s="8">
        <v>103000</v>
      </c>
      <c r="C9" s="8">
        <v>62000</v>
      </c>
      <c r="D9" s="8">
        <v>41000</v>
      </c>
      <c r="E9" s="8">
        <v>82500</v>
      </c>
      <c r="F9" s="8">
        <v>49500</v>
      </c>
      <c r="G9" s="8">
        <v>33000</v>
      </c>
    </row>
    <row r="10" spans="1:11" x14ac:dyDescent="0.25">
      <c r="A10" t="s">
        <v>79</v>
      </c>
      <c r="B10" s="8">
        <v>99000</v>
      </c>
      <c r="C10" s="8">
        <v>64500</v>
      </c>
      <c r="D10" s="8">
        <v>34500</v>
      </c>
      <c r="E10" s="8">
        <v>79000</v>
      </c>
      <c r="F10" s="8">
        <v>51500</v>
      </c>
      <c r="G10" s="8">
        <v>27500</v>
      </c>
    </row>
    <row r="11" spans="1:11" x14ac:dyDescent="0.25">
      <c r="A11" t="s">
        <v>80</v>
      </c>
      <c r="B11" s="8">
        <v>52000</v>
      </c>
      <c r="C11" s="8">
        <v>34000</v>
      </c>
      <c r="D11" s="8">
        <v>18000</v>
      </c>
      <c r="E11" s="8">
        <v>40500</v>
      </c>
      <c r="F11" s="8">
        <v>26500</v>
      </c>
      <c r="G11" s="8">
        <v>14000</v>
      </c>
    </row>
    <row r="12" spans="1:11" x14ac:dyDescent="0.25">
      <c r="A12" t="s">
        <v>81</v>
      </c>
      <c r="B12" s="8">
        <v>77000</v>
      </c>
      <c r="C12" s="8">
        <v>50000</v>
      </c>
      <c r="D12" s="8">
        <v>27000</v>
      </c>
      <c r="E12" s="8">
        <v>61500</v>
      </c>
      <c r="F12" s="8">
        <v>40000</v>
      </c>
      <c r="G12" s="8">
        <v>21500</v>
      </c>
    </row>
    <row r="13" spans="1:11" x14ac:dyDescent="0.25">
      <c r="A13" t="s">
        <v>82</v>
      </c>
      <c r="B13" s="8">
        <v>94000</v>
      </c>
      <c r="C13" s="8">
        <v>61000</v>
      </c>
      <c r="D13" s="8">
        <v>33000</v>
      </c>
      <c r="E13" s="8">
        <v>75000</v>
      </c>
      <c r="F13" s="8">
        <v>48500</v>
      </c>
      <c r="G13" s="8">
        <v>26500</v>
      </c>
    </row>
    <row r="14" spans="1:11" x14ac:dyDescent="0.25">
      <c r="A14" t="s">
        <v>83</v>
      </c>
      <c r="B14" s="8">
        <v>77000</v>
      </c>
      <c r="C14" s="8">
        <v>50000</v>
      </c>
      <c r="D14" s="8">
        <v>27000</v>
      </c>
      <c r="E14" s="8">
        <v>61500</v>
      </c>
      <c r="F14" s="8">
        <v>40000</v>
      </c>
      <c r="G14" s="8">
        <v>21500</v>
      </c>
    </row>
    <row r="15" spans="1:11" x14ac:dyDescent="0.25">
      <c r="A15" t="s">
        <v>84</v>
      </c>
      <c r="B15" s="8">
        <v>77000</v>
      </c>
      <c r="C15" s="8">
        <v>46000</v>
      </c>
      <c r="D15" s="8">
        <v>31000</v>
      </c>
      <c r="E15" s="8">
        <v>61500</v>
      </c>
      <c r="F15" s="8">
        <v>40000</v>
      </c>
      <c r="G15" s="8">
        <v>21500</v>
      </c>
    </row>
    <row r="16" spans="1:11" x14ac:dyDescent="0.25">
      <c r="A16" t="s">
        <v>85</v>
      </c>
      <c r="B16" s="8">
        <v>77000</v>
      </c>
      <c r="C16" s="8">
        <v>50000</v>
      </c>
      <c r="D16" s="8">
        <v>27000</v>
      </c>
      <c r="E16" s="8">
        <v>61500</v>
      </c>
      <c r="F16" s="8">
        <v>40000</v>
      </c>
      <c r="G16" s="8">
        <v>21500</v>
      </c>
    </row>
    <row r="17" spans="1:7" x14ac:dyDescent="0.25">
      <c r="A17" t="s">
        <v>86</v>
      </c>
      <c r="B17" s="8">
        <v>77000</v>
      </c>
      <c r="C17" s="8">
        <v>50000</v>
      </c>
      <c r="D17" s="8">
        <v>27000</v>
      </c>
      <c r="E17" s="8">
        <v>61500</v>
      </c>
      <c r="F17" s="8">
        <v>40000</v>
      </c>
      <c r="G17" s="8">
        <v>21500</v>
      </c>
    </row>
    <row r="18" spans="1:7" x14ac:dyDescent="0.25">
      <c r="A18" t="s">
        <v>87</v>
      </c>
      <c r="B18" s="8">
        <v>77000</v>
      </c>
      <c r="C18" s="8">
        <v>50000</v>
      </c>
      <c r="D18" s="8">
        <v>27000</v>
      </c>
      <c r="E18" s="8">
        <v>61500</v>
      </c>
      <c r="F18" s="8">
        <v>40000</v>
      </c>
      <c r="G18" s="8">
        <v>21500</v>
      </c>
    </row>
    <row r="19" spans="1:7" x14ac:dyDescent="0.25">
      <c r="A19" t="s">
        <v>88</v>
      </c>
      <c r="B19" s="8">
        <v>77000</v>
      </c>
      <c r="C19" s="8">
        <v>50000</v>
      </c>
      <c r="D19" s="8">
        <v>27000</v>
      </c>
      <c r="E19" s="8">
        <v>61500</v>
      </c>
      <c r="F19" s="8">
        <v>40000</v>
      </c>
      <c r="G19" s="8">
        <v>21500</v>
      </c>
    </row>
    <row r="20" spans="1:7" x14ac:dyDescent="0.25">
      <c r="A20" t="s">
        <v>89</v>
      </c>
      <c r="B20" s="8">
        <v>123000</v>
      </c>
      <c r="C20" s="8">
        <v>80000</v>
      </c>
      <c r="D20" s="8">
        <v>43000</v>
      </c>
      <c r="E20" s="8">
        <v>99000</v>
      </c>
      <c r="F20" s="8">
        <v>64500</v>
      </c>
      <c r="G20" s="8">
        <v>34500</v>
      </c>
    </row>
    <row r="21" spans="1:7" x14ac:dyDescent="0.25">
      <c r="A21" t="s">
        <v>90</v>
      </c>
      <c r="B21" s="8">
        <v>116000</v>
      </c>
      <c r="C21" s="8">
        <v>75500</v>
      </c>
      <c r="D21" s="8">
        <v>40500</v>
      </c>
      <c r="E21" s="8">
        <v>90500</v>
      </c>
      <c r="F21" s="8">
        <v>58500</v>
      </c>
      <c r="G21" s="8">
        <v>32000</v>
      </c>
    </row>
    <row r="22" spans="1:7" x14ac:dyDescent="0.25">
      <c r="A22" t="s">
        <v>91</v>
      </c>
      <c r="B22" s="8">
        <v>185000</v>
      </c>
      <c r="C22" s="8">
        <v>120000</v>
      </c>
      <c r="D22" s="8">
        <v>65000</v>
      </c>
      <c r="E22" s="8">
        <v>148000</v>
      </c>
      <c r="F22" s="8">
        <v>142800</v>
      </c>
      <c r="G22" s="8">
        <v>5200</v>
      </c>
    </row>
    <row r="23" spans="1:7" x14ac:dyDescent="0.25">
      <c r="A23" t="s">
        <v>92</v>
      </c>
      <c r="B23" s="8">
        <v>185500</v>
      </c>
      <c r="C23" s="8">
        <v>92500</v>
      </c>
      <c r="D23" s="8">
        <v>93000</v>
      </c>
      <c r="E23" s="8">
        <v>148500</v>
      </c>
      <c r="F23" s="8">
        <v>74000</v>
      </c>
      <c r="G23" s="8">
        <v>74500</v>
      </c>
    </row>
    <row r="24" spans="1:7" x14ac:dyDescent="0.25">
      <c r="A24" t="s">
        <v>93</v>
      </c>
      <c r="B24" s="8">
        <v>77000</v>
      </c>
      <c r="C24" s="8">
        <v>50000</v>
      </c>
      <c r="D24" s="8">
        <v>27000</v>
      </c>
      <c r="E24" s="8">
        <v>61500</v>
      </c>
      <c r="F24" s="8">
        <v>40000</v>
      </c>
      <c r="G24" s="8">
        <v>21500</v>
      </c>
    </row>
    <row r="25" spans="1:7" x14ac:dyDescent="0.25">
      <c r="A25" t="s">
        <v>94</v>
      </c>
      <c r="B25" s="8">
        <v>77000</v>
      </c>
      <c r="C25" s="8">
        <v>50000</v>
      </c>
      <c r="D25" s="8">
        <v>27000</v>
      </c>
      <c r="E25" s="8">
        <v>61500</v>
      </c>
      <c r="F25" s="8">
        <v>40000</v>
      </c>
      <c r="G25" s="8">
        <v>21500</v>
      </c>
    </row>
    <row r="26" spans="1:7" x14ac:dyDescent="0.25">
      <c r="A26" t="s">
        <v>95</v>
      </c>
      <c r="B26" s="8">
        <v>67000</v>
      </c>
      <c r="C26" s="8">
        <v>43500</v>
      </c>
      <c r="D26" s="8">
        <v>23500</v>
      </c>
      <c r="E26" s="8">
        <v>53500</v>
      </c>
      <c r="F26" s="8">
        <v>34500</v>
      </c>
      <c r="G26" s="8">
        <v>19000</v>
      </c>
    </row>
    <row r="27" spans="1:7" x14ac:dyDescent="0.25">
      <c r="A27" t="s">
        <v>96</v>
      </c>
      <c r="B27" s="8">
        <v>77000</v>
      </c>
      <c r="C27" s="8">
        <v>50000</v>
      </c>
      <c r="D27" s="8">
        <v>27000</v>
      </c>
      <c r="E27" s="8">
        <v>61500</v>
      </c>
      <c r="F27" s="8">
        <v>40000</v>
      </c>
      <c r="G27" s="8">
        <v>21500</v>
      </c>
    </row>
    <row r="28" spans="1:7" x14ac:dyDescent="0.25">
      <c r="A28" t="s">
        <v>97</v>
      </c>
      <c r="B28" s="8">
        <v>86000</v>
      </c>
      <c r="C28" s="8">
        <v>56000</v>
      </c>
      <c r="D28" s="8">
        <v>30000</v>
      </c>
      <c r="E28" s="8">
        <v>69000</v>
      </c>
      <c r="F28" s="8">
        <v>45000</v>
      </c>
      <c r="G28" s="8">
        <v>24000</v>
      </c>
    </row>
    <row r="29" spans="1:7" x14ac:dyDescent="0.25">
      <c r="A29" t="s">
        <v>98</v>
      </c>
      <c r="B29" s="8">
        <v>77000</v>
      </c>
      <c r="C29" s="8">
        <v>50000</v>
      </c>
      <c r="D29" s="8">
        <v>27000</v>
      </c>
      <c r="E29" s="8">
        <v>61500</v>
      </c>
      <c r="F29" s="8">
        <v>40000</v>
      </c>
      <c r="G29" s="8">
        <v>21500</v>
      </c>
    </row>
    <row r="30" spans="1:7" x14ac:dyDescent="0.25">
      <c r="A30" t="s">
        <v>99</v>
      </c>
      <c r="B30" s="8">
        <v>94000</v>
      </c>
      <c r="C30" s="8">
        <v>61000</v>
      </c>
      <c r="D30" s="8">
        <v>33000</v>
      </c>
      <c r="E30" s="8">
        <v>75000</v>
      </c>
      <c r="F30" s="8">
        <v>48500</v>
      </c>
      <c r="G30" s="8">
        <v>26500</v>
      </c>
    </row>
    <row r="31" spans="1:7" x14ac:dyDescent="0.25">
      <c r="A31" t="s">
        <v>100</v>
      </c>
      <c r="B31" s="8">
        <v>68500</v>
      </c>
      <c r="C31" s="8">
        <v>44500</v>
      </c>
      <c r="D31" s="8">
        <v>24000</v>
      </c>
      <c r="E31" s="8">
        <v>55000</v>
      </c>
      <c r="F31" s="8">
        <v>35500</v>
      </c>
      <c r="G31" s="8">
        <v>19500</v>
      </c>
    </row>
    <row r="32" spans="1:7" x14ac:dyDescent="0.25">
      <c r="A32" t="s">
        <v>104</v>
      </c>
      <c r="B32" s="8">
        <v>2842000</v>
      </c>
      <c r="C32" s="8">
        <v>1455500</v>
      </c>
      <c r="D32" s="8">
        <v>870500</v>
      </c>
      <c r="E32" s="8">
        <v>1854000</v>
      </c>
      <c r="F32" s="8">
        <v>1209800</v>
      </c>
      <c r="G32" s="8">
        <v>644200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GENERAL</vt:lpstr>
      <vt:lpstr>ECOGRAFIAS GRAL</vt:lpstr>
      <vt:lpstr>ECODOPLEER</vt:lpstr>
      <vt:lpstr>GENERAL!CsrAuxHoja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Villarreal</dc:creator>
  <cp:lastModifiedBy>Marcos Villarreal</cp:lastModifiedBy>
  <dcterms:created xsi:type="dcterms:W3CDTF">2025-02-10T15:15:10Z</dcterms:created>
  <dcterms:modified xsi:type="dcterms:W3CDTF">2025-02-10T15:29:06Z</dcterms:modified>
</cp:coreProperties>
</file>