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J:\XSOFTSQL\PROYECTOS\DISTRIBUIDORA\TempPivot\"/>
    </mc:Choice>
  </mc:AlternateContent>
  <xr:revisionPtr revIDLastSave="0" documentId="14_{166F0856-2828-4636-BAAF-9255E9033E1C}" xr6:coauthVersionLast="47" xr6:coauthVersionMax="47" xr10:uidLastSave="{00000000-0000-0000-0000-000000000000}"/>
  <bookViews>
    <workbookView xWindow="1845" yWindow="1035" windowWidth="19260" windowHeight="13245" xr2:uid="{AE7F1FB4-1322-4492-A2CA-F1CE3110C6E1}"/>
  </bookViews>
  <sheets>
    <sheet name="GENERAL" sheetId="1" r:id="rId1"/>
    <sheet name="Hoja1" sheetId="2" r:id="rId2"/>
  </sheets>
  <definedNames>
    <definedName name="CsrAuxHoja" localSheetId="0">GENERAL!#REF!</definedName>
    <definedName name="CsrAuxHoja_1" localSheetId="0">GENERAL!#REF!</definedName>
    <definedName name="CsrAuxHoja_2" localSheetId="0">GENERAL!$A$2:$U$104</definedName>
  </definedNames>
  <calcPr calcId="18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2" l="1"/>
  <c r="J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4CDFC3-87EA-481B-9241-767E75615D32}" name="Csrimprimir1" type="6" refreshedVersion="8" background="1" saveData="1">
    <textPr prompt="0" codePage="850" sourceFile="J:\XSOFTSQL\PROYECTOS\DISTRIBUIDORA\Csrimprimir.txt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<sst xmlns="http://schemas.openxmlformats.org/spreadsheetml/2006/main" count="659" uniqueCount="55">
  <si>
    <t>Fecha Caja</t>
  </si>
  <si>
    <t>Comprobante</t>
  </si>
  <si>
    <t>Cliente</t>
  </si>
  <si>
    <t>Nombre</t>
  </si>
  <si>
    <t>Importe</t>
  </si>
  <si>
    <t>Caja</t>
  </si>
  <si>
    <t>Tarjeta</t>
  </si>
  <si>
    <t>Bancario</t>
  </si>
  <si>
    <t>Pedido Ya</t>
  </si>
  <si>
    <t>BAPRO</t>
  </si>
  <si>
    <t>Pase</t>
  </si>
  <si>
    <t>Fecha Hora</t>
  </si>
  <si>
    <t>Fecha AFIP</t>
  </si>
  <si>
    <t>Turno</t>
  </si>
  <si>
    <t>Comprobante Aso.</t>
  </si>
  <si>
    <t>Numero Aso.</t>
  </si>
  <si>
    <t>Fecha Aso.</t>
  </si>
  <si>
    <t>Sucursal</t>
  </si>
  <si>
    <t>Cod Sucursal</t>
  </si>
  <si>
    <t>Origen</t>
  </si>
  <si>
    <t>BELGRANO</t>
  </si>
  <si>
    <t>L1</t>
  </si>
  <si>
    <t>L2</t>
  </si>
  <si>
    <t>ALSINA</t>
  </si>
  <si>
    <t>ALEM</t>
  </si>
  <si>
    <t>LAS HERAS</t>
  </si>
  <si>
    <t>DONADO</t>
  </si>
  <si>
    <t>TERRADA</t>
  </si>
  <si>
    <t>14 DE JULIO</t>
  </si>
  <si>
    <t>VILLA MITRE</t>
  </si>
  <si>
    <t>SALIQUELLO</t>
  </si>
  <si>
    <t>Rango de Fecha</t>
  </si>
  <si>
    <t>FACVTA 1</t>
  </si>
  <si>
    <t xml:space="preserve"> </t>
  </si>
  <si>
    <t>DEVOL 1</t>
  </si>
  <si>
    <t>VENTA 1</t>
  </si>
  <si>
    <t>FACVTA 2</t>
  </si>
  <si>
    <t>NCVTA 1</t>
  </si>
  <si>
    <t>ND.VTA 1</t>
  </si>
  <si>
    <t>Cta.Cte</t>
  </si>
  <si>
    <t>Etiquetas de fila</t>
  </si>
  <si>
    <t>(en blanco)</t>
  </si>
  <si>
    <t>Total general</t>
  </si>
  <si>
    <t>Suma de Caja</t>
  </si>
  <si>
    <t>Suma de Tarjeta</t>
  </si>
  <si>
    <t>Suma de Bancario</t>
  </si>
  <si>
    <t>Suma de Pedido Ya</t>
  </si>
  <si>
    <t>Suma de Cta.Cte</t>
  </si>
  <si>
    <t>Suma de BAPRO</t>
  </si>
  <si>
    <t>00-03-25</t>
  </si>
  <si>
    <t>-  -       :  :</t>
  </si>
  <si>
    <t>00-04-25</t>
  </si>
  <si>
    <t>00-05-25</t>
  </si>
  <si>
    <t>NCVTA 2</t>
  </si>
  <si>
    <t>&lt;&lt;&lt;LAS HERAS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</si>
</sst>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\,@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A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/>
    <xf numFmtId="1" fontId="2" fillId="2" borderId="1" xfId="0" applyNumberFormat="1" applyFont="1" applyFill="1" applyBorder="1"/>
    <xf numFmtId="0" fontId="2" fillId="2" borderId="1" xfId="0" applyFont="1" applyFill="1" applyBorder="1" applyAlignment="1">
      <alignment wrapText="1"/>
    </xf>
    <xf numFmtId="164" fontId="2" fillId="2" borderId="1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" fontId="2" fillId="2" borderId="1" xfId="0" applyNumberFormat="1" applyFont="1" applyFill="1" applyBorder="1"/>
    <xf numFmtId="4" fontId="0" fillId="0" borderId="0" xfId="0" applyNumberFormat="1"/>
    <xf numFmtId="0" fontId="1" fillId="0" borderId="0" xfId="0" applyFont="1" applyAlignment="1"/>
    <xf numFmtId="2" fontId="1" fillId="0" borderId="0" xfId="0" applyNumberFormat="1" applyFont="1" applyAlignment="1"/>
    <xf numFmtId="1" fontId="1" fillId="0" borderId="0" xfId="0" applyNumberFormat="1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" refreshedDate="45804.323251273148" createdVersion="8" refreshedVersion="8" minRefreshableVersion="3" recordCount="36" xr:uid="{497049D7-FFE9-4AF3-873B-3E8B603A980D}">
  <cacheSource type="worksheet">
    <worksheetSource ref="A1:U1048576" sheet="GENERAL"/>
  </cacheSource>
  <cacheFields count="21">
    <cacheField name="Fecha Caja" numFmtId="0">
      <sharedItems containsString="0" containsBlank="1" containsNumber="1" containsInteger="1" minValue="20250501" maxValue="20250501" count="2">
        <n v="20250501"/>
        <m/>
      </sharedItems>
    </cacheField>
    <cacheField name="Comprobante" numFmtId="0">
      <sharedItems containsBlank="1"/>
    </cacheField>
    <cacheField name="Cliente" numFmtId="0">
      <sharedItems containsNonDate="0" containsString="0" containsBlank="1"/>
    </cacheField>
    <cacheField name="Nombre" numFmtId="0">
      <sharedItems containsNonDate="0" containsString="0" containsBlank="1"/>
    </cacheField>
    <cacheField name="Importe" numFmtId="4">
      <sharedItems containsString="0" containsBlank="1" containsNumber="1" minValue="-254400.09" maxValue="32142598.57"/>
    </cacheField>
    <cacheField name="Caja" numFmtId="4">
      <sharedItems containsString="0" containsBlank="1" containsNumber="1" minValue="-86599.039999999994" maxValue="20091523.32"/>
    </cacheField>
    <cacheField name="Tarjeta" numFmtId="4">
      <sharedItems containsString="0" containsBlank="1" containsNumber="1" minValue="-125800.06" maxValue="23397674.420000002"/>
    </cacheField>
    <cacheField name="Bancario" numFmtId="4">
      <sharedItems containsString="0" containsBlank="1" containsNumber="1" minValue="-43080" maxValue="15590974.32"/>
    </cacheField>
    <cacheField name="Pedido Ya" numFmtId="4">
      <sharedItems containsString="0" containsBlank="1" containsNumber="1" minValue="-54250" maxValue="5012418"/>
    </cacheField>
    <cacheField name="Cta.Cte" numFmtId="4">
      <sharedItems containsString="0" containsBlank="1" containsNumber="1" minValue="-580400.99" maxValue="16533.02"/>
    </cacheField>
    <cacheField name="BAPRO" numFmtId="4">
      <sharedItems containsString="0" containsBlank="1" containsNumber="1" minValue="-34000.01" maxValue="4677717.0999999996"/>
    </cacheField>
    <cacheField name="Pase" numFmtId="1">
      <sharedItems containsString="0" containsBlank="1" containsNumber="1" containsInteger="1" minValue="0" maxValue="0"/>
    </cacheField>
    <cacheField name="Fecha Hora" numFmtId="0">
      <sharedItems containsNonDate="0" containsString="0" containsBlank="1"/>
    </cacheField>
    <cacheField name="Fecha AFIP" numFmtId="0">
      <sharedItems containsNonDate="0" containsString="0" containsBlank="1"/>
    </cacheField>
    <cacheField name="Turno" numFmtId="0">
      <sharedItems containsString="0" containsBlank="1" containsNumber="1" containsInteger="1" minValue="0" maxValue="0"/>
    </cacheField>
    <cacheField name="Comprobante Aso." numFmtId="0">
      <sharedItems containsNonDate="0" containsString="0" containsBlank="1"/>
    </cacheField>
    <cacheField name="Numero Aso." numFmtId="0">
      <sharedItems containsBlank="1"/>
    </cacheField>
    <cacheField name="Fecha Aso." numFmtId="164">
      <sharedItems containsNonDate="0" containsString="0" containsBlank="1"/>
    </cacheField>
    <cacheField name="Sucursal" numFmtId="0">
      <sharedItems containsBlank="1" count="10">
        <s v="BELGRANO"/>
        <s v="ALSINA"/>
        <s v="ALEM"/>
        <s v="LAS HERAS"/>
        <s v="DONADO"/>
        <s v="TERRADA"/>
        <s v="14 DE JULIO"/>
        <s v="VILLA MITRE"/>
        <s v="SALIQUELLO"/>
        <m/>
      </sharedItems>
    </cacheField>
    <cacheField name="Cod Sucursal" numFmtId="0">
      <sharedItems containsString="0" containsBlank="1" containsNumber="1" containsInteger="1" minValue="2" maxValue="11"/>
    </cacheField>
    <cacheField name="Orige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s v="FACVTA 1"/>
    <m/>
    <m/>
    <n v="13703770.27"/>
    <n v="4111823.55"/>
    <n v="6848169.5099999998"/>
    <n v="1893979.21"/>
    <n v="780948"/>
    <n v="0"/>
    <n v="68850"/>
    <n v="0"/>
    <m/>
    <m/>
    <n v="0"/>
    <m/>
    <s v=" "/>
    <m/>
    <x v="0"/>
    <n v="2"/>
    <s v="L1"/>
  </r>
  <r>
    <x v="0"/>
    <s v="DEVOL 1"/>
    <m/>
    <m/>
    <n v="-16533.02"/>
    <n v="0"/>
    <n v="0"/>
    <n v="0"/>
    <n v="0"/>
    <n v="16533.02"/>
    <n v="0"/>
    <n v="0"/>
    <m/>
    <m/>
    <n v="0"/>
    <m/>
    <s v=" "/>
    <m/>
    <x v="0"/>
    <n v="2"/>
    <s v="L2"/>
  </r>
  <r>
    <x v="0"/>
    <s v="VENTA 1"/>
    <m/>
    <m/>
    <n v="3389816.32"/>
    <n v="3144339.41"/>
    <n v="0"/>
    <n v="0"/>
    <n v="0"/>
    <n v="-245476.91"/>
    <n v="0"/>
    <n v="0"/>
    <m/>
    <m/>
    <n v="0"/>
    <m/>
    <s v=" "/>
    <m/>
    <x v="0"/>
    <n v="2"/>
    <s v="L2"/>
  </r>
  <r>
    <x v="0"/>
    <s v="FACVTA 2"/>
    <m/>
    <m/>
    <n v="14768672.15"/>
    <n v="6002628.2800000003"/>
    <n v="8159341.6799999997"/>
    <n v="5685239.2400000002"/>
    <n v="5012418"/>
    <n v="0"/>
    <n v="4677717.0999999996"/>
    <n v="0"/>
    <m/>
    <m/>
    <n v="0"/>
    <m/>
    <s v=" "/>
    <m/>
    <x v="1"/>
    <n v="3"/>
    <s v="L1"/>
  </r>
  <r>
    <x v="0"/>
    <s v="NCVTA 1"/>
    <m/>
    <m/>
    <n v="-128780"/>
    <n v="-12600"/>
    <n v="-82999.990000000005"/>
    <n v="-33180.01"/>
    <n v="0"/>
    <n v="0"/>
    <n v="0"/>
    <n v="0"/>
    <m/>
    <m/>
    <n v="0"/>
    <m/>
    <s v=" "/>
    <m/>
    <x v="1"/>
    <n v="3"/>
    <s v="L1"/>
  </r>
  <r>
    <x v="0"/>
    <s v="DEVOL 1"/>
    <m/>
    <m/>
    <n v="-6700"/>
    <n v="-6700"/>
    <n v="0"/>
    <n v="0"/>
    <n v="0"/>
    <n v="0"/>
    <n v="0"/>
    <n v="0"/>
    <m/>
    <m/>
    <n v="0"/>
    <m/>
    <s v=" "/>
    <m/>
    <x v="1"/>
    <n v="3"/>
    <s v="L2"/>
  </r>
  <r>
    <x v="0"/>
    <s v="VENTA 1"/>
    <m/>
    <m/>
    <n v="4703985.22"/>
    <n v="4639690.1399999997"/>
    <n v="0"/>
    <n v="0"/>
    <n v="0"/>
    <n v="-64295.08"/>
    <n v="0"/>
    <n v="0"/>
    <m/>
    <m/>
    <n v="0"/>
    <m/>
    <s v=" "/>
    <m/>
    <x v="1"/>
    <n v="3"/>
    <s v="L2"/>
  </r>
  <r>
    <x v="0"/>
    <s v="FACVTA 2"/>
    <m/>
    <m/>
    <n v="30200848.949999999"/>
    <n v="17195577.079999998"/>
    <n v="20684494.02"/>
    <n v="15590974.32"/>
    <n v="3296154"/>
    <n v="0"/>
    <n v="3634498.48"/>
    <n v="0"/>
    <m/>
    <m/>
    <n v="0"/>
    <m/>
    <s v=" "/>
    <m/>
    <x v="2"/>
    <n v="4"/>
    <s v="L1"/>
  </r>
  <r>
    <x v="0"/>
    <s v="NCVTA 1"/>
    <m/>
    <m/>
    <n v="-254400.09"/>
    <n v="-60500.01"/>
    <n v="-125800.06"/>
    <n v="-34100.01"/>
    <n v="0"/>
    <n v="0"/>
    <n v="-34000.01"/>
    <n v="0"/>
    <m/>
    <m/>
    <n v="0"/>
    <m/>
    <s v=" "/>
    <m/>
    <x v="2"/>
    <n v="4"/>
    <s v="L1"/>
  </r>
  <r>
    <x v="0"/>
    <s v="DEVOL 1"/>
    <m/>
    <m/>
    <n v="-19375"/>
    <n v="-19375"/>
    <n v="0"/>
    <n v="0"/>
    <n v="0"/>
    <n v="0"/>
    <n v="0"/>
    <n v="0"/>
    <m/>
    <m/>
    <n v="0"/>
    <m/>
    <s v=" "/>
    <m/>
    <x v="2"/>
    <n v="4"/>
    <s v="L2"/>
  </r>
  <r>
    <x v="0"/>
    <s v="VENTA 1"/>
    <m/>
    <m/>
    <n v="5418532.6799999997"/>
    <n v="5350807.68"/>
    <n v="0"/>
    <n v="0"/>
    <n v="0"/>
    <n v="-67725"/>
    <n v="0"/>
    <n v="0"/>
    <m/>
    <m/>
    <n v="0"/>
    <m/>
    <s v=" "/>
    <m/>
    <x v="2"/>
    <n v="4"/>
    <s v="L2"/>
  </r>
  <r>
    <x v="0"/>
    <s v="FACVTA 2"/>
    <m/>
    <m/>
    <n v="13693289.890000001"/>
    <n v="10672475.279999999"/>
    <n v="10837384.699999999"/>
    <n v="3817339.8"/>
    <n v="2059380"/>
    <n v="0"/>
    <n v="0"/>
    <n v="0"/>
    <m/>
    <m/>
    <n v="0"/>
    <m/>
    <s v=" "/>
    <m/>
    <x v="3"/>
    <n v="5"/>
    <s v="L1"/>
  </r>
  <r>
    <x v="0"/>
    <s v="NCVTA 1"/>
    <m/>
    <m/>
    <n v="-104352.53"/>
    <n v="-33212.51"/>
    <n v="-49300.02"/>
    <n v="-12650"/>
    <n v="-9190"/>
    <n v="0"/>
    <n v="0"/>
    <n v="0"/>
    <m/>
    <m/>
    <n v="0"/>
    <m/>
    <s v=" "/>
    <m/>
    <x v="3"/>
    <n v="5"/>
    <s v="L1"/>
  </r>
  <r>
    <x v="0"/>
    <s v="DEVOL 1"/>
    <m/>
    <m/>
    <n v="-86599.039999999994"/>
    <n v="-86599.039999999994"/>
    <n v="0"/>
    <n v="0"/>
    <n v="0"/>
    <n v="0"/>
    <n v="0"/>
    <n v="0"/>
    <m/>
    <m/>
    <n v="0"/>
    <m/>
    <s v=" "/>
    <m/>
    <x v="3"/>
    <n v="5"/>
    <s v="L2"/>
  </r>
  <r>
    <x v="0"/>
    <s v="VENTA 1"/>
    <m/>
    <m/>
    <n v="835677.27"/>
    <n v="746397.23"/>
    <n v="0"/>
    <n v="0"/>
    <n v="0"/>
    <n v="-89280.04"/>
    <n v="0"/>
    <n v="0"/>
    <m/>
    <m/>
    <n v="0"/>
    <m/>
    <s v=" "/>
    <m/>
    <x v="3"/>
    <n v="5"/>
    <s v="L2"/>
  </r>
  <r>
    <x v="0"/>
    <s v="FACVTA 2"/>
    <m/>
    <m/>
    <n v="32142598.57"/>
    <n v="20091523.32"/>
    <n v="23397674.420000002"/>
    <n v="11982260.439999999"/>
    <n v="4638294.0199999996"/>
    <n v="0"/>
    <n v="4175444.94"/>
    <n v="0"/>
    <m/>
    <m/>
    <n v="0"/>
    <m/>
    <s v=" "/>
    <m/>
    <x v="4"/>
    <n v="6"/>
    <s v="L1"/>
  </r>
  <r>
    <x v="0"/>
    <s v="ND.VTA 1"/>
    <m/>
    <m/>
    <n v="10499.99"/>
    <n v="0"/>
    <n v="10499.99"/>
    <n v="0"/>
    <n v="0"/>
    <n v="0"/>
    <n v="0"/>
    <n v="0"/>
    <m/>
    <m/>
    <n v="0"/>
    <m/>
    <s v=" "/>
    <m/>
    <x v="4"/>
    <n v="6"/>
    <s v="L1"/>
  </r>
  <r>
    <x v="0"/>
    <s v="NCVTA 1"/>
    <m/>
    <m/>
    <n v="-222240.05"/>
    <n v="-69400"/>
    <n v="-69490.03"/>
    <n v="-13100.01"/>
    <n v="-54250"/>
    <n v="0"/>
    <n v="-16000.01"/>
    <n v="0"/>
    <m/>
    <m/>
    <n v="0"/>
    <m/>
    <s v=" "/>
    <m/>
    <x v="4"/>
    <n v="6"/>
    <s v="L1"/>
  </r>
  <r>
    <x v="0"/>
    <s v="DEVOL 1"/>
    <m/>
    <m/>
    <n v="-59439.98"/>
    <n v="-59439.98"/>
    <n v="0"/>
    <n v="0"/>
    <n v="0"/>
    <n v="0"/>
    <n v="0"/>
    <n v="0"/>
    <m/>
    <m/>
    <n v="0"/>
    <m/>
    <s v=" "/>
    <m/>
    <x v="4"/>
    <n v="6"/>
    <s v="L2"/>
  </r>
  <r>
    <x v="0"/>
    <s v="VENTA 1"/>
    <m/>
    <m/>
    <n v="3542137.89"/>
    <n v="2961736.9"/>
    <n v="0"/>
    <n v="0"/>
    <n v="0"/>
    <n v="-580400.99"/>
    <n v="0"/>
    <n v="0"/>
    <m/>
    <m/>
    <n v="0"/>
    <m/>
    <s v=" "/>
    <m/>
    <x v="4"/>
    <n v="6"/>
    <s v="L2"/>
  </r>
  <r>
    <x v="0"/>
    <s v="FACVTA 1"/>
    <m/>
    <m/>
    <n v="9927630.7200000007"/>
    <n v="3715137.95"/>
    <n v="2312945.16"/>
    <n v="2776799.6"/>
    <n v="1039698"/>
    <n v="0"/>
    <n v="83050.009999999995"/>
    <n v="0"/>
    <m/>
    <m/>
    <n v="0"/>
    <m/>
    <s v=" "/>
    <m/>
    <x v="5"/>
    <n v="7"/>
    <s v="L1"/>
  </r>
  <r>
    <x v="0"/>
    <s v="NCVTA 1"/>
    <m/>
    <m/>
    <n v="-66170.02"/>
    <n v="-19970"/>
    <n v="-15200.01"/>
    <n v="-24100.01"/>
    <n v="0"/>
    <n v="0"/>
    <n v="-6900"/>
    <n v="0"/>
    <m/>
    <m/>
    <n v="0"/>
    <m/>
    <s v=" "/>
    <m/>
    <x v="5"/>
    <n v="7"/>
    <s v="L1"/>
  </r>
  <r>
    <x v="0"/>
    <s v="DEVOL 1"/>
    <m/>
    <m/>
    <n v="-7600"/>
    <n v="-7600"/>
    <n v="0"/>
    <n v="0"/>
    <n v="0"/>
    <n v="0"/>
    <n v="0"/>
    <n v="0"/>
    <m/>
    <m/>
    <n v="0"/>
    <m/>
    <s v=" "/>
    <m/>
    <x v="5"/>
    <n v="7"/>
    <s v="L2"/>
  </r>
  <r>
    <x v="0"/>
    <s v="VENTA 1"/>
    <m/>
    <m/>
    <n v="283383.03999999998"/>
    <n v="231200.04"/>
    <n v="0"/>
    <n v="0"/>
    <n v="0"/>
    <n v="-52183"/>
    <n v="0"/>
    <n v="0"/>
    <m/>
    <m/>
    <n v="0"/>
    <m/>
    <s v=" "/>
    <m/>
    <x v="5"/>
    <n v="7"/>
    <s v="L2"/>
  </r>
  <r>
    <x v="0"/>
    <s v="FACVTA 1"/>
    <m/>
    <m/>
    <n v="9127906.1799999997"/>
    <n v="2483929.79"/>
    <n v="2887783.96"/>
    <n v="2931844.43"/>
    <n v="824348"/>
    <n v="0"/>
    <n v="0"/>
    <n v="0"/>
    <m/>
    <m/>
    <n v="0"/>
    <m/>
    <s v=" "/>
    <m/>
    <x v="6"/>
    <n v="9"/>
    <s v="L1"/>
  </r>
  <r>
    <x v="0"/>
    <s v="NCVTA 1"/>
    <m/>
    <m/>
    <n v="-14599.98"/>
    <n v="-5400"/>
    <n v="0"/>
    <n v="-9199.98"/>
    <n v="0"/>
    <n v="0"/>
    <n v="0"/>
    <n v="0"/>
    <m/>
    <m/>
    <n v="0"/>
    <m/>
    <s v=" "/>
    <m/>
    <x v="6"/>
    <n v="9"/>
    <s v="L1"/>
  </r>
  <r>
    <x v="0"/>
    <s v="DEVOL 1"/>
    <m/>
    <m/>
    <n v="-10899.98"/>
    <n v="-10899.98"/>
    <n v="0"/>
    <n v="0"/>
    <n v="0"/>
    <n v="0"/>
    <n v="0"/>
    <n v="0"/>
    <m/>
    <m/>
    <n v="0"/>
    <m/>
    <s v=" "/>
    <m/>
    <x v="6"/>
    <n v="9"/>
    <s v="L2"/>
  </r>
  <r>
    <x v="0"/>
    <s v="VENTA 1"/>
    <m/>
    <m/>
    <n v="1523180.17"/>
    <n v="1495120.16"/>
    <n v="0"/>
    <n v="0"/>
    <n v="0"/>
    <n v="-28060.01"/>
    <n v="0"/>
    <n v="0"/>
    <m/>
    <m/>
    <n v="0"/>
    <m/>
    <s v=" "/>
    <m/>
    <x v="6"/>
    <n v="9"/>
    <s v="L2"/>
  </r>
  <r>
    <x v="0"/>
    <s v="FACVTA 2"/>
    <m/>
    <m/>
    <n v="16315696.699999999"/>
    <n v="10461257.82"/>
    <n v="9719759.3800000008"/>
    <n v="8830844.1999999993"/>
    <n v="3619532"/>
    <n v="0"/>
    <n v="0"/>
    <n v="0"/>
    <m/>
    <m/>
    <n v="0"/>
    <m/>
    <s v=" "/>
    <m/>
    <x v="7"/>
    <n v="10"/>
    <s v="L1"/>
  </r>
  <r>
    <x v="0"/>
    <s v="NCVTA 1"/>
    <m/>
    <m/>
    <n v="-83370.02"/>
    <n v="-14200.02"/>
    <n v="-7800"/>
    <n v="-43080"/>
    <n v="-18290"/>
    <n v="0"/>
    <n v="0"/>
    <n v="0"/>
    <m/>
    <m/>
    <n v="0"/>
    <m/>
    <s v=" "/>
    <m/>
    <x v="7"/>
    <n v="10"/>
    <s v="L1"/>
  </r>
  <r>
    <x v="0"/>
    <s v="DEVOL 1"/>
    <m/>
    <m/>
    <n v="-24200.02"/>
    <n v="-24200.02"/>
    <n v="0"/>
    <n v="0"/>
    <n v="0"/>
    <n v="0"/>
    <n v="0"/>
    <n v="0"/>
    <m/>
    <m/>
    <n v="0"/>
    <m/>
    <s v=" "/>
    <m/>
    <x v="7"/>
    <n v="10"/>
    <s v="L2"/>
  </r>
  <r>
    <x v="0"/>
    <s v="VENTA 1"/>
    <m/>
    <m/>
    <n v="852683.24"/>
    <n v="811518.21"/>
    <n v="0"/>
    <n v="0"/>
    <n v="0"/>
    <n v="-41165.03"/>
    <n v="0"/>
    <n v="0"/>
    <m/>
    <m/>
    <n v="0"/>
    <m/>
    <s v=" "/>
    <m/>
    <x v="7"/>
    <n v="10"/>
    <s v="L2"/>
  </r>
  <r>
    <x v="0"/>
    <s v="FACVTA 2"/>
    <m/>
    <m/>
    <n v="15973219.060000001"/>
    <n v="10359494.02"/>
    <n v="5847623.1799999997"/>
    <n v="14353968.859999999"/>
    <n v="806234"/>
    <n v="0"/>
    <n v="579118.06000000006"/>
    <n v="0"/>
    <m/>
    <m/>
    <n v="0"/>
    <m/>
    <s v=" "/>
    <m/>
    <x v="8"/>
    <n v="11"/>
    <s v="L1"/>
  </r>
  <r>
    <x v="0"/>
    <s v="NCVTA 1"/>
    <m/>
    <m/>
    <n v="-2400"/>
    <n v="-1900"/>
    <n v="-500"/>
    <n v="0"/>
    <n v="0"/>
    <n v="0"/>
    <n v="0"/>
    <n v="0"/>
    <m/>
    <m/>
    <n v="0"/>
    <m/>
    <s v=" "/>
    <m/>
    <x v="8"/>
    <n v="11"/>
    <s v="L1"/>
  </r>
  <r>
    <x v="0"/>
    <s v="VENTA 1"/>
    <m/>
    <m/>
    <n v="2727307.49"/>
    <n v="2537038.48"/>
    <n v="0"/>
    <n v="0"/>
    <n v="0"/>
    <n v="-190269.01"/>
    <n v="0"/>
    <n v="0"/>
    <m/>
    <m/>
    <n v="0"/>
    <m/>
    <s v=" "/>
    <m/>
    <x v="8"/>
    <n v="11"/>
    <s v="L2"/>
  </r>
  <r>
    <x v="1"/>
    <m/>
    <m/>
    <m/>
    <m/>
    <m/>
    <m/>
    <m/>
    <m/>
    <m/>
    <m/>
    <m/>
    <m/>
    <m/>
    <m/>
    <m/>
    <m/>
    <m/>
    <x v="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2C73C0-69D9-4562-A4BA-D087A256751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16" firstHeaderRow="0" firstDataRow="1" firstDataCol="1"/>
  <pivotFields count="21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6"/>
        <item x="2"/>
        <item x="1"/>
        <item x="0"/>
        <item x="4"/>
        <item x="3"/>
        <item x="8"/>
        <item x="5"/>
        <item x="7"/>
        <item x="9"/>
        <item t="default"/>
      </items>
    </pivotField>
    <pivotField showAll="0"/>
    <pivotField showAll="0"/>
  </pivotFields>
  <rowFields count="2">
    <field x="0"/>
    <field x="18"/>
  </rowFields>
  <rowItems count="1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Caja" fld="5" baseField="18" baseItem="3" numFmtId="4"/>
    <dataField name="Suma de Tarjeta" fld="6" baseField="0" baseItem="0"/>
    <dataField name="Suma de Bancario" fld="7" baseField="0" baseItem="0"/>
    <dataField name="Suma de Pedido Ya" fld="8" baseField="0" baseItem="0"/>
    <dataField name="Suma de Cta.Cte" fld="9" baseField="0" baseItem="0"/>
    <dataField name="Suma de BAPRO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srAuxHoja_2" connectionId="1" xr16:uid="{067DB1DC-B224-4C68-A5DE-CA4AC81B94C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3A501-0A72-476C-9C83-A58EF0F72047}">
  <dimension ref="A1:U10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9.28515625" style="10" bestFit="1" customWidth="1"/>
    <col min="2" max="2" width="11.85546875" style="10" bestFit="1" customWidth="1"/>
    <col min="3" max="3" width="6.5703125" style="10" bestFit="1" customWidth="1"/>
    <col min="4" max="4" width="7.28515625" style="10" bestFit="1" customWidth="1"/>
    <col min="5" max="6" width="10" style="11" bestFit="1" customWidth="1"/>
    <col min="7" max="7" width="9.140625" style="11" bestFit="1" customWidth="1"/>
    <col min="8" max="8" width="10" style="11" bestFit="1" customWidth="1"/>
    <col min="9" max="9" width="9.140625" style="11" bestFit="1" customWidth="1"/>
    <col min="10" max="10" width="8.85546875" style="11" bestFit="1" customWidth="1"/>
    <col min="11" max="11" width="8.28515625" style="11" bestFit="1" customWidth="1"/>
    <col min="12" max="12" width="4.85546875" style="12" bestFit="1" customWidth="1"/>
    <col min="13" max="13" width="9.5703125" style="10" bestFit="1" customWidth="1"/>
    <col min="14" max="14" width="9.42578125" style="10" bestFit="1" customWidth="1"/>
    <col min="15" max="15" width="5.7109375" style="10" bestFit="1" customWidth="1"/>
    <col min="16" max="16" width="10.85546875" style="10" bestFit="1" customWidth="1"/>
    <col min="17" max="17" width="6.28515625" style="10" bestFit="1" customWidth="1"/>
    <col min="18" max="18" width="18.7109375" style="13" bestFit="1" customWidth="1"/>
    <col min="19" max="19" width="12" style="10" bestFit="1" customWidth="1"/>
    <col min="20" max="20" width="7.85546875" style="10" bestFit="1" customWidth="1"/>
    <col min="21" max="21" width="6.28515625" style="10" bestFit="1" customWidth="1"/>
  </cols>
  <sheetData>
    <row r="1" spans="1:21" ht="23.25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39</v>
      </c>
      <c r="K1" s="8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3" t="s">
        <v>14</v>
      </c>
      <c r="Q1" s="3" t="s">
        <v>15</v>
      </c>
      <c r="R1" s="4" t="s">
        <v>16</v>
      </c>
      <c r="S1" s="1" t="s">
        <v>17</v>
      </c>
      <c r="T1" s="3" t="s">
        <v>18</v>
      </c>
      <c r="U1" s="1" t="s">
        <v>19</v>
      </c>
    </row>
    <row r="2" spans="1:21" x14ac:dyDescent="0.25">
      <c r="A2" s="10" t="s">
        <v>49</v>
      </c>
      <c r="B2" s="10" t="s">
        <v>36</v>
      </c>
      <c r="E2" s="11">
        <v>10182219.640000001</v>
      </c>
      <c r="F2" s="11">
        <v>6832551.0999999996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2">
        <v>0</v>
      </c>
      <c r="M2" s="10" t="s">
        <v>50</v>
      </c>
      <c r="O2" s="10">
        <v>0</v>
      </c>
      <c r="Q2" s="10" t="s">
        <v>33</v>
      </c>
      <c r="S2" s="10" t="s">
        <v>20</v>
      </c>
      <c r="T2" s="10">
        <v>2</v>
      </c>
      <c r="U2" s="10" t="s">
        <v>21</v>
      </c>
    </row>
    <row r="3" spans="1:21" x14ac:dyDescent="0.25">
      <c r="A3" s="10" t="s">
        <v>51</v>
      </c>
      <c r="B3" s="10" t="s">
        <v>36</v>
      </c>
      <c r="E3" s="11">
        <v>16028525.050000001</v>
      </c>
      <c r="F3" s="11">
        <v>9827920.8000000007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2">
        <v>0</v>
      </c>
      <c r="M3" s="10" t="s">
        <v>50</v>
      </c>
      <c r="O3" s="10">
        <v>0</v>
      </c>
      <c r="Q3" s="10" t="s">
        <v>33</v>
      </c>
      <c r="S3" s="10" t="s">
        <v>20</v>
      </c>
      <c r="T3" s="10">
        <v>2</v>
      </c>
      <c r="U3" s="10" t="s">
        <v>21</v>
      </c>
    </row>
    <row r="4" spans="1:21" x14ac:dyDescent="0.25">
      <c r="A4" s="10" t="s">
        <v>52</v>
      </c>
      <c r="B4" s="10" t="s">
        <v>32</v>
      </c>
      <c r="E4" s="11">
        <v>13703770.27</v>
      </c>
      <c r="F4" s="11">
        <v>4111823.55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2">
        <v>0</v>
      </c>
      <c r="M4" s="10" t="s">
        <v>50</v>
      </c>
      <c r="O4" s="10">
        <v>0</v>
      </c>
      <c r="Q4" s="10" t="s">
        <v>33</v>
      </c>
      <c r="S4" s="10" t="s">
        <v>20</v>
      </c>
      <c r="T4" s="10">
        <v>2</v>
      </c>
      <c r="U4" s="10" t="s">
        <v>21</v>
      </c>
    </row>
    <row r="5" spans="1:21" x14ac:dyDescent="0.25">
      <c r="A5" s="10" t="s">
        <v>51</v>
      </c>
      <c r="B5" s="10" t="s">
        <v>37</v>
      </c>
      <c r="E5" s="11">
        <v>-4554</v>
      </c>
      <c r="F5" s="11">
        <v>-99</v>
      </c>
      <c r="G5" s="11">
        <v>0</v>
      </c>
      <c r="H5" s="11">
        <v>0</v>
      </c>
      <c r="I5" s="11">
        <v>0</v>
      </c>
      <c r="J5" s="11">
        <v>0</v>
      </c>
      <c r="K5" s="11">
        <v>-4455</v>
      </c>
      <c r="L5" s="12">
        <v>0</v>
      </c>
      <c r="M5" s="10" t="s">
        <v>50</v>
      </c>
      <c r="O5" s="10">
        <v>0</v>
      </c>
      <c r="Q5" s="10" t="s">
        <v>33</v>
      </c>
      <c r="S5" s="10" t="s">
        <v>20</v>
      </c>
      <c r="T5" s="10">
        <v>2</v>
      </c>
      <c r="U5" s="10" t="s">
        <v>21</v>
      </c>
    </row>
    <row r="6" spans="1:21" x14ac:dyDescent="0.25">
      <c r="A6" s="10" t="s">
        <v>52</v>
      </c>
      <c r="B6" s="10" t="s">
        <v>34</v>
      </c>
      <c r="E6" s="11">
        <v>-16533.02</v>
      </c>
      <c r="F6" s="11">
        <v>0</v>
      </c>
      <c r="G6" s="11">
        <v>0</v>
      </c>
      <c r="H6" s="11">
        <v>0</v>
      </c>
      <c r="I6" s="11">
        <v>0</v>
      </c>
      <c r="J6" s="11">
        <v>16533.02</v>
      </c>
      <c r="K6" s="11">
        <v>0</v>
      </c>
      <c r="L6" s="12">
        <v>0</v>
      </c>
      <c r="M6" s="10" t="s">
        <v>50</v>
      </c>
      <c r="O6" s="10">
        <v>0</v>
      </c>
      <c r="Q6" s="10" t="s">
        <v>33</v>
      </c>
      <c r="S6" s="10" t="s">
        <v>20</v>
      </c>
      <c r="T6" s="10">
        <v>2</v>
      </c>
      <c r="U6" s="10" t="s">
        <v>22</v>
      </c>
    </row>
    <row r="7" spans="1:21" x14ac:dyDescent="0.25">
      <c r="A7" s="10" t="s">
        <v>49</v>
      </c>
      <c r="B7" s="10" t="s">
        <v>35</v>
      </c>
      <c r="E7" s="11">
        <v>1973243.07</v>
      </c>
      <c r="F7" s="11">
        <v>0</v>
      </c>
      <c r="G7" s="11">
        <v>0</v>
      </c>
      <c r="H7" s="11">
        <v>0</v>
      </c>
      <c r="I7" s="11">
        <v>0</v>
      </c>
      <c r="J7" s="11">
        <v>-174577.97</v>
      </c>
      <c r="K7" s="11">
        <v>0</v>
      </c>
      <c r="L7" s="12">
        <v>0</v>
      </c>
      <c r="M7" s="10" t="s">
        <v>50</v>
      </c>
      <c r="O7" s="10">
        <v>0</v>
      </c>
      <c r="Q7" s="10" t="s">
        <v>33</v>
      </c>
      <c r="S7" s="10" t="s">
        <v>20</v>
      </c>
      <c r="T7" s="10">
        <v>2</v>
      </c>
      <c r="U7" s="10" t="s">
        <v>22</v>
      </c>
    </row>
    <row r="8" spans="1:21" x14ac:dyDescent="0.25">
      <c r="A8" s="10" t="s">
        <v>51</v>
      </c>
      <c r="B8" s="10" t="s">
        <v>35</v>
      </c>
      <c r="E8" s="11">
        <v>3819498.42</v>
      </c>
      <c r="F8" s="11">
        <v>0</v>
      </c>
      <c r="G8" s="11">
        <v>0</v>
      </c>
      <c r="H8" s="11">
        <v>0</v>
      </c>
      <c r="I8" s="11">
        <v>0</v>
      </c>
      <c r="J8" s="11">
        <v>-284367.31</v>
      </c>
      <c r="K8" s="11">
        <v>0</v>
      </c>
      <c r="L8" s="12">
        <v>0</v>
      </c>
      <c r="M8" s="10" t="s">
        <v>50</v>
      </c>
      <c r="O8" s="10">
        <v>0</v>
      </c>
      <c r="Q8" s="10" t="s">
        <v>33</v>
      </c>
      <c r="S8" s="10" t="s">
        <v>20</v>
      </c>
      <c r="T8" s="10">
        <v>2</v>
      </c>
      <c r="U8" s="10" t="s">
        <v>22</v>
      </c>
    </row>
    <row r="9" spans="1:21" x14ac:dyDescent="0.25">
      <c r="A9" s="10" t="s">
        <v>52</v>
      </c>
      <c r="B9" s="10" t="s">
        <v>35</v>
      </c>
      <c r="E9" s="11">
        <v>3389816.32</v>
      </c>
      <c r="F9" s="11">
        <v>0</v>
      </c>
      <c r="G9" s="11">
        <v>0</v>
      </c>
      <c r="H9" s="11">
        <v>0</v>
      </c>
      <c r="I9" s="11">
        <v>0</v>
      </c>
      <c r="J9" s="11">
        <v>-245476.91</v>
      </c>
      <c r="K9" s="11">
        <v>0</v>
      </c>
      <c r="L9" s="12">
        <v>0</v>
      </c>
      <c r="M9" s="10" t="s">
        <v>50</v>
      </c>
      <c r="O9" s="10">
        <v>0</v>
      </c>
      <c r="Q9" s="10" t="s">
        <v>33</v>
      </c>
      <c r="S9" s="10" t="s">
        <v>20</v>
      </c>
      <c r="T9" s="10">
        <v>2</v>
      </c>
      <c r="U9" s="10" t="s">
        <v>22</v>
      </c>
    </row>
    <row r="10" spans="1:21" x14ac:dyDescent="0.25">
      <c r="A10" s="10" t="s">
        <v>51</v>
      </c>
      <c r="B10" s="10" t="s">
        <v>36</v>
      </c>
      <c r="E10" s="11">
        <v>13608121.119999999</v>
      </c>
      <c r="F10" s="11">
        <v>5232444.6399999997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2">
        <v>0</v>
      </c>
      <c r="M10" s="10" t="s">
        <v>50</v>
      </c>
      <c r="O10" s="10">
        <v>0</v>
      </c>
      <c r="Q10" s="10" t="s">
        <v>33</v>
      </c>
      <c r="S10" s="10" t="s">
        <v>23</v>
      </c>
      <c r="T10" s="10">
        <v>3</v>
      </c>
      <c r="U10" s="10" t="s">
        <v>21</v>
      </c>
    </row>
    <row r="11" spans="1:21" x14ac:dyDescent="0.25">
      <c r="A11" s="10" t="s">
        <v>52</v>
      </c>
      <c r="B11" s="10" t="s">
        <v>36</v>
      </c>
      <c r="E11" s="11">
        <v>14768672.15</v>
      </c>
      <c r="F11" s="11">
        <v>6002628.2800000003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2">
        <v>0</v>
      </c>
      <c r="M11" s="10" t="s">
        <v>50</v>
      </c>
      <c r="O11" s="10">
        <v>0</v>
      </c>
      <c r="Q11" s="10" t="s">
        <v>33</v>
      </c>
      <c r="S11" s="10" t="s">
        <v>23</v>
      </c>
      <c r="T11" s="10">
        <v>3</v>
      </c>
      <c r="U11" s="10" t="s">
        <v>21</v>
      </c>
    </row>
    <row r="12" spans="1:21" x14ac:dyDescent="0.25">
      <c r="A12" s="10" t="s">
        <v>49</v>
      </c>
      <c r="B12" s="10" t="s">
        <v>32</v>
      </c>
      <c r="E12" s="11">
        <v>2959624.96</v>
      </c>
      <c r="F12" s="11">
        <v>857549.63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2">
        <v>0</v>
      </c>
      <c r="M12" s="10" t="s">
        <v>50</v>
      </c>
      <c r="O12" s="10">
        <v>0</v>
      </c>
      <c r="Q12" s="10" t="s">
        <v>33</v>
      </c>
      <c r="S12" s="10" t="s">
        <v>23</v>
      </c>
      <c r="T12" s="10">
        <v>3</v>
      </c>
      <c r="U12" s="10" t="s">
        <v>21</v>
      </c>
    </row>
    <row r="13" spans="1:21" x14ac:dyDescent="0.25">
      <c r="A13" s="10" t="s">
        <v>49</v>
      </c>
      <c r="B13" s="10" t="s">
        <v>37</v>
      </c>
      <c r="E13" s="11">
        <v>-31480</v>
      </c>
      <c r="F13" s="11">
        <v>0</v>
      </c>
      <c r="G13" s="11">
        <v>-8950</v>
      </c>
      <c r="H13" s="11">
        <v>0</v>
      </c>
      <c r="I13" s="11">
        <v>-7730</v>
      </c>
      <c r="J13" s="11">
        <v>0</v>
      </c>
      <c r="K13" s="11">
        <v>0</v>
      </c>
      <c r="L13" s="12">
        <v>0</v>
      </c>
      <c r="M13" s="10" t="s">
        <v>50</v>
      </c>
      <c r="O13" s="10">
        <v>0</v>
      </c>
      <c r="Q13" s="10" t="s">
        <v>33</v>
      </c>
      <c r="S13" s="10" t="s">
        <v>23</v>
      </c>
      <c r="T13" s="10">
        <v>3</v>
      </c>
      <c r="U13" s="10" t="s">
        <v>21</v>
      </c>
    </row>
    <row r="14" spans="1:21" x14ac:dyDescent="0.25">
      <c r="A14" s="10" t="s">
        <v>51</v>
      </c>
      <c r="B14" s="10" t="s">
        <v>37</v>
      </c>
      <c r="E14" s="11">
        <v>-28159.98</v>
      </c>
      <c r="F14" s="11">
        <v>0</v>
      </c>
      <c r="G14" s="11">
        <v>-8899.99</v>
      </c>
      <c r="H14" s="11">
        <v>0</v>
      </c>
      <c r="I14" s="11">
        <v>0</v>
      </c>
      <c r="J14" s="11">
        <v>0</v>
      </c>
      <c r="K14" s="11">
        <v>0</v>
      </c>
      <c r="L14" s="12">
        <v>0</v>
      </c>
      <c r="M14" s="10" t="s">
        <v>50</v>
      </c>
      <c r="O14" s="10">
        <v>0</v>
      </c>
      <c r="Q14" s="10" t="s">
        <v>33</v>
      </c>
      <c r="S14" s="10" t="s">
        <v>23</v>
      </c>
      <c r="T14" s="10">
        <v>3</v>
      </c>
      <c r="U14" s="10" t="s">
        <v>21</v>
      </c>
    </row>
    <row r="15" spans="1:21" x14ac:dyDescent="0.25">
      <c r="A15" s="10" t="s">
        <v>52</v>
      </c>
      <c r="B15" s="10" t="s">
        <v>37</v>
      </c>
      <c r="E15" s="11">
        <v>-128780</v>
      </c>
      <c r="F15" s="11">
        <v>0</v>
      </c>
      <c r="G15" s="11">
        <v>-82999.990000000005</v>
      </c>
      <c r="H15" s="11">
        <v>0</v>
      </c>
      <c r="I15" s="11">
        <v>0</v>
      </c>
      <c r="J15" s="11">
        <v>0</v>
      </c>
      <c r="K15" s="11">
        <v>0</v>
      </c>
      <c r="L15" s="12">
        <v>0</v>
      </c>
      <c r="M15" s="10" t="s">
        <v>50</v>
      </c>
      <c r="O15" s="10">
        <v>0</v>
      </c>
      <c r="Q15" s="10" t="s">
        <v>33</v>
      </c>
      <c r="S15" s="10" t="s">
        <v>23</v>
      </c>
      <c r="T15" s="10">
        <v>3</v>
      </c>
      <c r="U15" s="10" t="s">
        <v>21</v>
      </c>
    </row>
    <row r="16" spans="1:21" x14ac:dyDescent="0.25">
      <c r="A16" s="10" t="s">
        <v>49</v>
      </c>
      <c r="B16" s="10" t="s">
        <v>34</v>
      </c>
      <c r="E16" s="11">
        <v>-5950</v>
      </c>
      <c r="F16" s="11">
        <v>-700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2">
        <v>0</v>
      </c>
      <c r="M16" s="10" t="s">
        <v>50</v>
      </c>
      <c r="O16" s="10">
        <v>0</v>
      </c>
      <c r="Q16" s="10" t="s">
        <v>33</v>
      </c>
      <c r="S16" s="10" t="s">
        <v>23</v>
      </c>
      <c r="T16" s="10">
        <v>3</v>
      </c>
      <c r="U16" s="10" t="s">
        <v>22</v>
      </c>
    </row>
    <row r="17" spans="1:21" x14ac:dyDescent="0.25">
      <c r="A17" s="10" t="s">
        <v>51</v>
      </c>
      <c r="B17" s="10" t="s">
        <v>34</v>
      </c>
      <c r="E17" s="11">
        <v>-40499</v>
      </c>
      <c r="F17" s="11">
        <v>-40499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2">
        <v>0</v>
      </c>
      <c r="M17" s="10" t="s">
        <v>50</v>
      </c>
      <c r="O17" s="10">
        <v>0</v>
      </c>
      <c r="Q17" s="10" t="s">
        <v>33</v>
      </c>
      <c r="S17" s="10" t="s">
        <v>23</v>
      </c>
      <c r="T17" s="10">
        <v>3</v>
      </c>
      <c r="U17" s="10" t="s">
        <v>22</v>
      </c>
    </row>
    <row r="18" spans="1:21" x14ac:dyDescent="0.25">
      <c r="A18" s="10" t="s">
        <v>52</v>
      </c>
      <c r="B18" s="10" t="s">
        <v>34</v>
      </c>
      <c r="E18" s="11">
        <v>-6700</v>
      </c>
      <c r="F18" s="11">
        <v>-6700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2">
        <v>0</v>
      </c>
      <c r="M18" s="10" t="s">
        <v>50</v>
      </c>
      <c r="O18" s="10">
        <v>0</v>
      </c>
      <c r="Q18" s="10" t="s">
        <v>33</v>
      </c>
      <c r="S18" s="10" t="s">
        <v>23</v>
      </c>
      <c r="T18" s="10">
        <v>3</v>
      </c>
      <c r="U18" s="10" t="s">
        <v>22</v>
      </c>
    </row>
    <row r="19" spans="1:21" x14ac:dyDescent="0.25">
      <c r="A19" s="10" t="s">
        <v>49</v>
      </c>
      <c r="B19" s="10" t="s">
        <v>35</v>
      </c>
      <c r="E19" s="11">
        <v>366739.99</v>
      </c>
      <c r="F19" s="11">
        <v>0</v>
      </c>
      <c r="G19" s="11">
        <v>0</v>
      </c>
      <c r="H19" s="11">
        <v>0</v>
      </c>
      <c r="I19" s="11">
        <v>0</v>
      </c>
      <c r="J19" s="11">
        <v>-14000</v>
      </c>
      <c r="K19" s="11">
        <v>0</v>
      </c>
      <c r="L19" s="12">
        <v>0</v>
      </c>
      <c r="M19" s="10" t="s">
        <v>50</v>
      </c>
      <c r="O19" s="10">
        <v>0</v>
      </c>
      <c r="Q19" s="10" t="s">
        <v>33</v>
      </c>
      <c r="S19" s="10" t="s">
        <v>23</v>
      </c>
      <c r="T19" s="10">
        <v>3</v>
      </c>
      <c r="U19" s="10" t="s">
        <v>22</v>
      </c>
    </row>
    <row r="20" spans="1:21" x14ac:dyDescent="0.25">
      <c r="A20" s="10" t="s">
        <v>51</v>
      </c>
      <c r="B20" s="10" t="s">
        <v>35</v>
      </c>
      <c r="E20" s="11">
        <v>5089403.0999999996</v>
      </c>
      <c r="F20" s="11">
        <v>0</v>
      </c>
      <c r="G20" s="11">
        <v>0</v>
      </c>
      <c r="H20" s="11">
        <v>0</v>
      </c>
      <c r="I20" s="11">
        <v>0</v>
      </c>
      <c r="J20" s="11">
        <v>-55619.99</v>
      </c>
      <c r="K20" s="11">
        <v>0</v>
      </c>
      <c r="L20" s="12">
        <v>0</v>
      </c>
      <c r="M20" s="10" t="s">
        <v>50</v>
      </c>
      <c r="O20" s="10">
        <v>0</v>
      </c>
      <c r="Q20" s="10" t="s">
        <v>33</v>
      </c>
      <c r="S20" s="10" t="s">
        <v>23</v>
      </c>
      <c r="T20" s="10">
        <v>3</v>
      </c>
      <c r="U20" s="10" t="s">
        <v>22</v>
      </c>
    </row>
    <row r="21" spans="1:21" x14ac:dyDescent="0.25">
      <c r="A21" s="10" t="s">
        <v>52</v>
      </c>
      <c r="B21" s="10" t="s">
        <v>35</v>
      </c>
      <c r="E21" s="11">
        <v>4703985.22</v>
      </c>
      <c r="F21" s="11">
        <v>0</v>
      </c>
      <c r="G21" s="11">
        <v>0</v>
      </c>
      <c r="H21" s="11">
        <v>0</v>
      </c>
      <c r="I21" s="11">
        <v>0</v>
      </c>
      <c r="J21" s="11">
        <v>-64295.08</v>
      </c>
      <c r="K21" s="11">
        <v>0</v>
      </c>
      <c r="L21" s="12">
        <v>0</v>
      </c>
      <c r="M21" s="10" t="s">
        <v>50</v>
      </c>
      <c r="O21" s="10">
        <v>0</v>
      </c>
      <c r="Q21" s="10" t="s">
        <v>33</v>
      </c>
      <c r="S21" s="10" t="s">
        <v>23</v>
      </c>
      <c r="T21" s="10">
        <v>3</v>
      </c>
      <c r="U21" s="10" t="s">
        <v>22</v>
      </c>
    </row>
    <row r="22" spans="1:21" x14ac:dyDescent="0.25">
      <c r="A22" s="10" t="s">
        <v>49</v>
      </c>
      <c r="B22" s="10" t="s">
        <v>36</v>
      </c>
      <c r="E22" s="11">
        <v>29362727.829999998</v>
      </c>
      <c r="F22" s="11">
        <v>15263379.039999999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2">
        <v>0</v>
      </c>
      <c r="M22" s="10" t="s">
        <v>50</v>
      </c>
      <c r="O22" s="10">
        <v>0</v>
      </c>
      <c r="Q22" s="10" t="s">
        <v>33</v>
      </c>
      <c r="S22" s="10" t="s">
        <v>24</v>
      </c>
      <c r="T22" s="10">
        <v>4</v>
      </c>
      <c r="U22" s="10" t="s">
        <v>21</v>
      </c>
    </row>
    <row r="23" spans="1:21" x14ac:dyDescent="0.25">
      <c r="A23" s="10" t="s">
        <v>51</v>
      </c>
      <c r="B23" s="10" t="s">
        <v>36</v>
      </c>
      <c r="E23" s="11">
        <v>31385468.879999999</v>
      </c>
      <c r="F23" s="11">
        <v>17596999.359999999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2">
        <v>0</v>
      </c>
      <c r="M23" s="10" t="s">
        <v>50</v>
      </c>
      <c r="O23" s="10">
        <v>0</v>
      </c>
      <c r="Q23" s="10" t="s">
        <v>33</v>
      </c>
      <c r="S23" s="10" t="s">
        <v>24</v>
      </c>
      <c r="T23" s="10">
        <v>4</v>
      </c>
      <c r="U23" s="10" t="s">
        <v>21</v>
      </c>
    </row>
    <row r="24" spans="1:21" x14ac:dyDescent="0.25">
      <c r="A24" s="10" t="s">
        <v>52</v>
      </c>
      <c r="B24" s="10" t="s">
        <v>36</v>
      </c>
      <c r="E24" s="11">
        <v>30200848.949999999</v>
      </c>
      <c r="F24" s="11">
        <v>17195577.079999998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2">
        <v>0</v>
      </c>
      <c r="M24" s="10" t="s">
        <v>50</v>
      </c>
      <c r="O24" s="10">
        <v>0</v>
      </c>
      <c r="Q24" s="10" t="s">
        <v>33</v>
      </c>
      <c r="S24" s="10" t="s">
        <v>24</v>
      </c>
      <c r="T24" s="10">
        <v>4</v>
      </c>
      <c r="U24" s="10" t="s">
        <v>21</v>
      </c>
    </row>
    <row r="25" spans="1:21" x14ac:dyDescent="0.25">
      <c r="A25" s="10" t="s">
        <v>49</v>
      </c>
      <c r="B25" s="10" t="s">
        <v>37</v>
      </c>
      <c r="E25" s="11">
        <v>-48650.01</v>
      </c>
      <c r="F25" s="11">
        <v>0</v>
      </c>
      <c r="G25" s="11">
        <v>-31300.01</v>
      </c>
      <c r="H25" s="11">
        <v>0</v>
      </c>
      <c r="I25" s="11">
        <v>0</v>
      </c>
      <c r="J25" s="11">
        <v>0</v>
      </c>
      <c r="K25" s="11">
        <v>0</v>
      </c>
      <c r="L25" s="12">
        <v>0</v>
      </c>
      <c r="M25" s="10" t="s">
        <v>50</v>
      </c>
      <c r="O25" s="10">
        <v>0</v>
      </c>
      <c r="Q25" s="10" t="s">
        <v>33</v>
      </c>
      <c r="S25" s="10" t="s">
        <v>24</v>
      </c>
      <c r="T25" s="10">
        <v>4</v>
      </c>
      <c r="U25" s="10" t="s">
        <v>21</v>
      </c>
    </row>
    <row r="26" spans="1:21" x14ac:dyDescent="0.25">
      <c r="A26" s="10" t="s">
        <v>51</v>
      </c>
      <c r="B26" s="10" t="s">
        <v>37</v>
      </c>
      <c r="E26" s="11">
        <v>-117200.12</v>
      </c>
      <c r="F26" s="11">
        <v>0</v>
      </c>
      <c r="G26" s="11">
        <v>-14399.99</v>
      </c>
      <c r="H26" s="11">
        <v>0</v>
      </c>
      <c r="I26" s="11">
        <v>0</v>
      </c>
      <c r="J26" s="11">
        <v>0</v>
      </c>
      <c r="K26" s="11">
        <v>0</v>
      </c>
      <c r="L26" s="12">
        <v>0</v>
      </c>
      <c r="M26" s="10" t="s">
        <v>50</v>
      </c>
      <c r="O26" s="10">
        <v>0</v>
      </c>
      <c r="Q26" s="10" t="s">
        <v>33</v>
      </c>
      <c r="S26" s="10" t="s">
        <v>24</v>
      </c>
      <c r="T26" s="10">
        <v>4</v>
      </c>
      <c r="U26" s="10" t="s">
        <v>21</v>
      </c>
    </row>
    <row r="27" spans="1:21" x14ac:dyDescent="0.25">
      <c r="A27" s="10" t="s">
        <v>52</v>
      </c>
      <c r="B27" s="10" t="s">
        <v>37</v>
      </c>
      <c r="E27" s="11">
        <v>-254400.09</v>
      </c>
      <c r="F27" s="11">
        <v>0</v>
      </c>
      <c r="G27" s="11">
        <v>-125800.06</v>
      </c>
      <c r="H27" s="11">
        <v>0</v>
      </c>
      <c r="I27" s="11">
        <v>0</v>
      </c>
      <c r="J27" s="11">
        <v>0</v>
      </c>
      <c r="K27" s="11">
        <v>-34000.01</v>
      </c>
      <c r="L27" s="12">
        <v>0</v>
      </c>
      <c r="M27" s="10" t="s">
        <v>50</v>
      </c>
      <c r="O27" s="10">
        <v>0</v>
      </c>
      <c r="Q27" s="10" t="s">
        <v>33</v>
      </c>
      <c r="S27" s="10" t="s">
        <v>24</v>
      </c>
      <c r="T27" s="10">
        <v>4</v>
      </c>
      <c r="U27" s="10" t="s">
        <v>21</v>
      </c>
    </row>
    <row r="28" spans="1:21" x14ac:dyDescent="0.25">
      <c r="A28" s="10" t="s">
        <v>49</v>
      </c>
      <c r="B28" s="10" t="s">
        <v>34</v>
      </c>
      <c r="E28" s="11">
        <v>-35940.01</v>
      </c>
      <c r="F28" s="11">
        <v>-35940.01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2">
        <v>0</v>
      </c>
      <c r="M28" s="10" t="s">
        <v>50</v>
      </c>
      <c r="O28" s="10">
        <v>0</v>
      </c>
      <c r="Q28" s="10" t="s">
        <v>33</v>
      </c>
      <c r="S28" s="10" t="s">
        <v>24</v>
      </c>
      <c r="T28" s="10">
        <v>4</v>
      </c>
      <c r="U28" s="10" t="s">
        <v>22</v>
      </c>
    </row>
    <row r="29" spans="1:21" x14ac:dyDescent="0.25">
      <c r="A29" s="10" t="s">
        <v>51</v>
      </c>
      <c r="B29" s="10" t="s">
        <v>34</v>
      </c>
      <c r="E29" s="11">
        <v>-200</v>
      </c>
      <c r="F29" s="11">
        <v>-200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2">
        <v>0</v>
      </c>
      <c r="M29" s="10" t="s">
        <v>50</v>
      </c>
      <c r="O29" s="10">
        <v>0</v>
      </c>
      <c r="Q29" s="10" t="s">
        <v>33</v>
      </c>
      <c r="S29" s="10" t="s">
        <v>24</v>
      </c>
      <c r="T29" s="10">
        <v>4</v>
      </c>
      <c r="U29" s="10" t="s">
        <v>22</v>
      </c>
    </row>
    <row r="30" spans="1:21" x14ac:dyDescent="0.25">
      <c r="A30" s="10" t="s">
        <v>52</v>
      </c>
      <c r="B30" s="10" t="s">
        <v>34</v>
      </c>
      <c r="E30" s="11">
        <v>-19375</v>
      </c>
      <c r="F30" s="11">
        <v>-19375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2">
        <v>0</v>
      </c>
      <c r="M30" s="10" t="s">
        <v>50</v>
      </c>
      <c r="O30" s="10">
        <v>0</v>
      </c>
      <c r="Q30" s="10" t="s">
        <v>33</v>
      </c>
      <c r="S30" s="10" t="s">
        <v>24</v>
      </c>
      <c r="T30" s="10">
        <v>4</v>
      </c>
      <c r="U30" s="10" t="s">
        <v>22</v>
      </c>
    </row>
    <row r="31" spans="1:21" x14ac:dyDescent="0.25">
      <c r="A31" s="10" t="s">
        <v>49</v>
      </c>
      <c r="B31" s="10" t="s">
        <v>35</v>
      </c>
      <c r="E31" s="11">
        <v>6363055.4199999999</v>
      </c>
      <c r="F31" s="11">
        <v>6257018.9299999997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2">
        <v>0</v>
      </c>
      <c r="M31" s="10" t="s">
        <v>50</v>
      </c>
      <c r="O31" s="10">
        <v>0</v>
      </c>
      <c r="Q31" s="10" t="s">
        <v>33</v>
      </c>
      <c r="S31" s="10" t="s">
        <v>24</v>
      </c>
      <c r="T31" s="10">
        <v>4</v>
      </c>
      <c r="U31" s="10" t="s">
        <v>22</v>
      </c>
    </row>
    <row r="32" spans="1:21" x14ac:dyDescent="0.25">
      <c r="A32" s="10" t="s">
        <v>51</v>
      </c>
      <c r="B32" s="10" t="s">
        <v>35</v>
      </c>
      <c r="E32" s="11">
        <v>6860449.25</v>
      </c>
      <c r="F32" s="11">
        <v>6742572.7599999998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2">
        <v>0</v>
      </c>
      <c r="M32" s="10" t="s">
        <v>50</v>
      </c>
      <c r="O32" s="10">
        <v>0</v>
      </c>
      <c r="Q32" s="10" t="s">
        <v>33</v>
      </c>
      <c r="S32" s="10" t="s">
        <v>24</v>
      </c>
      <c r="T32" s="10">
        <v>4</v>
      </c>
      <c r="U32" s="10" t="s">
        <v>22</v>
      </c>
    </row>
    <row r="33" spans="1:21" x14ac:dyDescent="0.25">
      <c r="A33" s="10" t="s">
        <v>52</v>
      </c>
      <c r="B33" s="10" t="s">
        <v>35</v>
      </c>
      <c r="E33" s="11">
        <v>5418532.6799999997</v>
      </c>
      <c r="F33" s="11">
        <v>5350807.68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2">
        <v>0</v>
      </c>
      <c r="M33" s="10" t="s">
        <v>50</v>
      </c>
      <c r="O33" s="10">
        <v>0</v>
      </c>
      <c r="Q33" s="10" t="s">
        <v>33</v>
      </c>
      <c r="S33" s="10" t="s">
        <v>24</v>
      </c>
      <c r="T33" s="10">
        <v>4</v>
      </c>
      <c r="U33" s="10" t="s">
        <v>22</v>
      </c>
    </row>
    <row r="34" spans="1:21" x14ac:dyDescent="0.25">
      <c r="A34" s="10" t="s">
        <v>52</v>
      </c>
      <c r="B34" s="10" t="s">
        <v>36</v>
      </c>
      <c r="E34" s="11">
        <v>13693289.890000001</v>
      </c>
      <c r="F34" s="11">
        <v>0</v>
      </c>
      <c r="G34" s="11">
        <v>0</v>
      </c>
      <c r="H34" s="11">
        <v>0</v>
      </c>
      <c r="I34" s="11">
        <v>2059380</v>
      </c>
      <c r="J34" s="11">
        <v>0</v>
      </c>
      <c r="K34" s="11">
        <v>0</v>
      </c>
      <c r="L34" s="12">
        <v>0</v>
      </c>
      <c r="M34" s="10" t="s">
        <v>50</v>
      </c>
      <c r="O34" s="10">
        <v>0</v>
      </c>
      <c r="Q34" s="10" t="s">
        <v>33</v>
      </c>
      <c r="S34" s="10" t="s">
        <v>25</v>
      </c>
      <c r="T34" s="10">
        <v>5</v>
      </c>
      <c r="U34" s="10" t="s">
        <v>21</v>
      </c>
    </row>
    <row r="35" spans="1:21" x14ac:dyDescent="0.25">
      <c r="A35" s="10" t="s">
        <v>49</v>
      </c>
      <c r="B35" s="10" t="s">
        <v>32</v>
      </c>
      <c r="E35" s="11">
        <v>3367697.56</v>
      </c>
      <c r="F35" s="11">
        <v>0</v>
      </c>
      <c r="G35" s="11">
        <v>0</v>
      </c>
      <c r="H35" s="11">
        <v>0</v>
      </c>
      <c r="I35" s="11">
        <v>488650</v>
      </c>
      <c r="J35" s="11">
        <v>0</v>
      </c>
      <c r="K35" s="11">
        <v>0</v>
      </c>
      <c r="L35" s="12">
        <v>0</v>
      </c>
      <c r="M35" s="10" t="s">
        <v>50</v>
      </c>
      <c r="O35" s="10">
        <v>0</v>
      </c>
      <c r="Q35" s="10" t="s">
        <v>33</v>
      </c>
      <c r="S35" s="10" t="s">
        <v>25</v>
      </c>
      <c r="T35" s="10">
        <v>5</v>
      </c>
      <c r="U35" s="10" t="s">
        <v>21</v>
      </c>
    </row>
    <row r="36" spans="1:21" x14ac:dyDescent="0.25">
      <c r="A36" s="10" t="s">
        <v>51</v>
      </c>
      <c r="B36" s="10" t="s">
        <v>32</v>
      </c>
      <c r="E36" s="11">
        <v>10799240.539999999</v>
      </c>
      <c r="F36" s="11">
        <v>0</v>
      </c>
      <c r="G36" s="11">
        <v>0</v>
      </c>
      <c r="H36" s="11">
        <v>0</v>
      </c>
      <c r="I36" s="11">
        <v>875870.01</v>
      </c>
      <c r="J36" s="11">
        <v>0</v>
      </c>
      <c r="K36" s="11">
        <v>0</v>
      </c>
      <c r="L36" s="12">
        <v>0</v>
      </c>
      <c r="M36" s="10" t="s">
        <v>50</v>
      </c>
      <c r="O36" s="10">
        <v>0</v>
      </c>
      <c r="Q36" s="10" t="s">
        <v>33</v>
      </c>
      <c r="S36" s="10" t="s">
        <v>25</v>
      </c>
      <c r="T36" s="10">
        <v>5</v>
      </c>
      <c r="U36" s="10" t="s">
        <v>21</v>
      </c>
    </row>
    <row r="37" spans="1:21" x14ac:dyDescent="0.25">
      <c r="A37" s="10" t="s">
        <v>49</v>
      </c>
      <c r="B37" s="10" t="s">
        <v>37</v>
      </c>
      <c r="E37" s="11">
        <v>-21600.01</v>
      </c>
      <c r="F37" s="11">
        <v>0</v>
      </c>
      <c r="G37" s="11">
        <v>-9000.01</v>
      </c>
      <c r="H37" s="11">
        <v>0</v>
      </c>
      <c r="I37" s="11">
        <v>0</v>
      </c>
      <c r="J37" s="11">
        <v>0</v>
      </c>
      <c r="K37" s="11">
        <v>0</v>
      </c>
      <c r="L37" s="12">
        <v>0</v>
      </c>
      <c r="M37" s="10" t="s">
        <v>50</v>
      </c>
      <c r="O37" s="10">
        <v>0</v>
      </c>
      <c r="Q37" s="10" t="s">
        <v>33</v>
      </c>
      <c r="S37" s="10" t="s">
        <v>25</v>
      </c>
      <c r="T37" s="10">
        <v>5</v>
      </c>
      <c r="U37" s="10" t="s">
        <v>21</v>
      </c>
    </row>
    <row r="38" spans="1:21" x14ac:dyDescent="0.25">
      <c r="A38" s="10" t="s">
        <v>51</v>
      </c>
      <c r="B38" s="10" t="s">
        <v>37</v>
      </c>
      <c r="E38" s="11">
        <v>-92805.04</v>
      </c>
      <c r="F38" s="11">
        <v>0</v>
      </c>
      <c r="G38" s="11">
        <v>-43500.03</v>
      </c>
      <c r="H38" s="11">
        <v>0</v>
      </c>
      <c r="I38" s="11">
        <v>0</v>
      </c>
      <c r="J38" s="11">
        <v>0</v>
      </c>
      <c r="K38" s="11">
        <v>0</v>
      </c>
      <c r="L38" s="12">
        <v>0</v>
      </c>
      <c r="M38" s="10" t="s">
        <v>50</v>
      </c>
      <c r="O38" s="10">
        <v>0</v>
      </c>
      <c r="Q38" s="10" t="s">
        <v>33</v>
      </c>
      <c r="S38" s="10" t="s">
        <v>25</v>
      </c>
      <c r="T38" s="10">
        <v>5</v>
      </c>
      <c r="U38" s="10" t="s">
        <v>21</v>
      </c>
    </row>
    <row r="39" spans="1:21" x14ac:dyDescent="0.25">
      <c r="A39" s="10" t="s">
        <v>52</v>
      </c>
      <c r="B39" s="10" t="s">
        <v>37</v>
      </c>
      <c r="E39" s="11">
        <v>-104352.53</v>
      </c>
      <c r="F39" s="11">
        <v>0</v>
      </c>
      <c r="G39" s="11">
        <v>-49300.02</v>
      </c>
      <c r="H39" s="11">
        <v>0</v>
      </c>
      <c r="I39" s="11">
        <v>0</v>
      </c>
      <c r="J39" s="11">
        <v>0</v>
      </c>
      <c r="K39" s="11">
        <v>0</v>
      </c>
      <c r="L39" s="12">
        <v>0</v>
      </c>
      <c r="M39" s="10" t="s">
        <v>50</v>
      </c>
      <c r="O39" s="10">
        <v>0</v>
      </c>
      <c r="Q39" s="10" t="s">
        <v>33</v>
      </c>
      <c r="S39" s="10" t="s">
        <v>25</v>
      </c>
      <c r="T39" s="10">
        <v>5</v>
      </c>
      <c r="U39" s="10" t="s">
        <v>21</v>
      </c>
    </row>
    <row r="40" spans="1:21" x14ac:dyDescent="0.25">
      <c r="A40" s="10" t="s">
        <v>49</v>
      </c>
      <c r="B40" s="10" t="s">
        <v>34</v>
      </c>
      <c r="E40" s="11">
        <v>-14500</v>
      </c>
      <c r="F40" s="11">
        <v>-14500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2">
        <v>0</v>
      </c>
      <c r="M40" s="10" t="s">
        <v>50</v>
      </c>
      <c r="O40" s="10">
        <v>0</v>
      </c>
      <c r="Q40" s="10" t="s">
        <v>33</v>
      </c>
      <c r="S40" s="10" t="s">
        <v>25</v>
      </c>
      <c r="T40" s="10">
        <v>5</v>
      </c>
      <c r="U40" s="10" t="s">
        <v>22</v>
      </c>
    </row>
    <row r="41" spans="1:21" x14ac:dyDescent="0.25">
      <c r="A41" s="10" t="s">
        <v>51</v>
      </c>
      <c r="B41" s="10" t="s">
        <v>34</v>
      </c>
      <c r="E41" s="11">
        <v>-32569.98</v>
      </c>
      <c r="F41" s="11">
        <v>-32569.98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2">
        <v>0</v>
      </c>
      <c r="M41" s="10" t="s">
        <v>50</v>
      </c>
      <c r="O41" s="10">
        <v>0</v>
      </c>
      <c r="Q41" s="10" t="s">
        <v>33</v>
      </c>
      <c r="S41" s="10" t="s">
        <v>25</v>
      </c>
      <c r="T41" s="10">
        <v>5</v>
      </c>
      <c r="U41" s="10" t="s">
        <v>22</v>
      </c>
    </row>
    <row r="42" spans="1:21" x14ac:dyDescent="0.25">
      <c r="A42" s="10" t="s">
        <v>52</v>
      </c>
      <c r="B42" s="10" t="s">
        <v>34</v>
      </c>
      <c r="E42" s="11">
        <v>-86599.039999999994</v>
      </c>
      <c r="F42" s="11">
        <v>-86599.039999999994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2">
        <v>0</v>
      </c>
      <c r="M42" s="10" t="s">
        <v>50</v>
      </c>
      <c r="O42" s="10">
        <v>0</v>
      </c>
      <c r="Q42" s="10" t="s">
        <v>33</v>
      </c>
      <c r="S42" s="10" t="s">
        <v>25</v>
      </c>
      <c r="T42" s="10">
        <v>5</v>
      </c>
      <c r="U42" s="10" t="s">
        <v>22</v>
      </c>
    </row>
    <row r="43" spans="1:21" x14ac:dyDescent="0.25">
      <c r="A43" s="10" t="s">
        <v>49</v>
      </c>
      <c r="B43" s="10" t="s">
        <v>35</v>
      </c>
      <c r="E43" s="11">
        <v>1034255.52</v>
      </c>
      <c r="F43" s="11">
        <v>1013797.97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2">
        <v>0</v>
      </c>
      <c r="M43" s="10" t="s">
        <v>50</v>
      </c>
      <c r="O43" s="10">
        <v>0</v>
      </c>
      <c r="Q43" s="10" t="s">
        <v>33</v>
      </c>
      <c r="S43" s="10" t="s">
        <v>25</v>
      </c>
      <c r="T43" s="10">
        <v>5</v>
      </c>
      <c r="U43" s="10" t="s">
        <v>22</v>
      </c>
    </row>
    <row r="44" spans="1:21" x14ac:dyDescent="0.25">
      <c r="A44" s="10" t="s">
        <v>51</v>
      </c>
      <c r="B44" s="10" t="s">
        <v>35</v>
      </c>
      <c r="E44" s="11">
        <v>1746778.81</v>
      </c>
      <c r="F44" s="11">
        <v>1693358.79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2">
        <v>0</v>
      </c>
      <c r="M44" s="10" t="s">
        <v>50</v>
      </c>
      <c r="O44" s="10">
        <v>0</v>
      </c>
      <c r="Q44" s="10" t="s">
        <v>33</v>
      </c>
      <c r="S44" s="10" t="s">
        <v>25</v>
      </c>
      <c r="T44" s="10">
        <v>5</v>
      </c>
      <c r="U44" s="10" t="s">
        <v>22</v>
      </c>
    </row>
    <row r="45" spans="1:21" x14ac:dyDescent="0.25">
      <c r="A45" s="10" t="s">
        <v>52</v>
      </c>
      <c r="B45" s="10" t="s">
        <v>35</v>
      </c>
      <c r="E45" s="11">
        <v>835677.27</v>
      </c>
      <c r="F45" s="11">
        <v>746397.23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2">
        <v>0</v>
      </c>
      <c r="M45" s="10" t="s">
        <v>50</v>
      </c>
      <c r="O45" s="10">
        <v>0</v>
      </c>
      <c r="Q45" s="10" t="s">
        <v>33</v>
      </c>
      <c r="S45" s="10" t="s">
        <v>25</v>
      </c>
      <c r="T45" s="10">
        <v>5</v>
      </c>
      <c r="U45" s="10" t="s">
        <v>22</v>
      </c>
    </row>
    <row r="46" spans="1:21" x14ac:dyDescent="0.25">
      <c r="A46" s="10" t="s">
        <v>49</v>
      </c>
      <c r="B46" s="10" t="s">
        <v>36</v>
      </c>
      <c r="E46" s="11">
        <v>23672400.59</v>
      </c>
      <c r="F46" s="11">
        <v>0</v>
      </c>
      <c r="G46" s="11">
        <v>0</v>
      </c>
      <c r="H46" s="11">
        <v>8468689.0800000001</v>
      </c>
      <c r="I46" s="11">
        <v>0</v>
      </c>
      <c r="J46" s="11">
        <v>0</v>
      </c>
      <c r="K46" s="11">
        <v>0</v>
      </c>
      <c r="L46" s="12">
        <v>0</v>
      </c>
      <c r="M46" s="10" t="s">
        <v>50</v>
      </c>
      <c r="O46" s="10">
        <v>0</v>
      </c>
      <c r="Q46" s="10" t="s">
        <v>33</v>
      </c>
      <c r="S46" s="10" t="s">
        <v>26</v>
      </c>
      <c r="T46" s="10">
        <v>6</v>
      </c>
      <c r="U46" s="10" t="s">
        <v>21</v>
      </c>
    </row>
    <row r="47" spans="1:21" x14ac:dyDescent="0.25">
      <c r="A47" s="10" t="s">
        <v>51</v>
      </c>
      <c r="B47" s="10" t="s">
        <v>36</v>
      </c>
      <c r="E47" s="11">
        <v>31978341.949999999</v>
      </c>
      <c r="F47" s="11">
        <v>0</v>
      </c>
      <c r="G47" s="11">
        <v>0</v>
      </c>
      <c r="H47" s="11">
        <v>0</v>
      </c>
      <c r="I47" s="11">
        <v>0</v>
      </c>
      <c r="J47" s="11">
        <v>-150800.06</v>
      </c>
      <c r="K47" s="11">
        <v>0</v>
      </c>
      <c r="L47" s="12">
        <v>0</v>
      </c>
      <c r="M47" s="10" t="s">
        <v>50</v>
      </c>
      <c r="O47" s="10">
        <v>0</v>
      </c>
      <c r="Q47" s="10" t="s">
        <v>33</v>
      </c>
      <c r="S47" s="10" t="s">
        <v>26</v>
      </c>
      <c r="T47" s="10">
        <v>6</v>
      </c>
      <c r="U47" s="10" t="s">
        <v>21</v>
      </c>
    </row>
    <row r="48" spans="1:21" x14ac:dyDescent="0.25">
      <c r="A48" s="10" t="s">
        <v>52</v>
      </c>
      <c r="B48" s="10" t="s">
        <v>36</v>
      </c>
      <c r="E48" s="11">
        <v>32142598.57</v>
      </c>
      <c r="F48" s="11">
        <v>0</v>
      </c>
      <c r="G48" s="11">
        <v>0</v>
      </c>
      <c r="H48" s="11">
        <v>11982260.439999999</v>
      </c>
      <c r="I48" s="11">
        <v>0</v>
      </c>
      <c r="J48" s="11">
        <v>0</v>
      </c>
      <c r="K48" s="11">
        <v>0</v>
      </c>
      <c r="L48" s="12">
        <v>0</v>
      </c>
      <c r="M48" s="10" t="s">
        <v>50</v>
      </c>
      <c r="O48" s="10">
        <v>0</v>
      </c>
      <c r="Q48" s="10" t="s">
        <v>33</v>
      </c>
      <c r="S48" s="10" t="s">
        <v>26</v>
      </c>
      <c r="T48" s="10">
        <v>6</v>
      </c>
      <c r="U48" s="10" t="s">
        <v>21</v>
      </c>
    </row>
    <row r="49" spans="1:21" x14ac:dyDescent="0.25">
      <c r="A49" s="10" t="s">
        <v>51</v>
      </c>
      <c r="B49" s="10" t="s">
        <v>53</v>
      </c>
      <c r="E49" s="11">
        <v>-54000</v>
      </c>
      <c r="F49" s="11">
        <v>0</v>
      </c>
      <c r="G49" s="11">
        <v>-8000.02</v>
      </c>
      <c r="H49" s="11">
        <v>0</v>
      </c>
      <c r="I49" s="11">
        <v>0</v>
      </c>
      <c r="J49" s="11">
        <v>0</v>
      </c>
      <c r="K49" s="11">
        <v>0</v>
      </c>
      <c r="L49" s="12">
        <v>0</v>
      </c>
      <c r="M49" s="10" t="s">
        <v>50</v>
      </c>
      <c r="O49" s="10">
        <v>0</v>
      </c>
      <c r="Q49" s="10" t="s">
        <v>33</v>
      </c>
      <c r="S49" s="10" t="s">
        <v>26</v>
      </c>
      <c r="T49" s="10">
        <v>6</v>
      </c>
      <c r="U49" s="10" t="s">
        <v>21</v>
      </c>
    </row>
    <row r="50" spans="1:21" x14ac:dyDescent="0.25">
      <c r="A50" s="10" t="s">
        <v>52</v>
      </c>
      <c r="B50" s="10" t="s">
        <v>38</v>
      </c>
      <c r="E50" s="11">
        <v>10499.99</v>
      </c>
      <c r="F50" s="11">
        <v>0</v>
      </c>
      <c r="G50" s="11">
        <v>10499.99</v>
      </c>
      <c r="H50" s="11">
        <v>0</v>
      </c>
      <c r="I50" s="11">
        <v>0</v>
      </c>
      <c r="J50" s="11">
        <v>0</v>
      </c>
      <c r="K50" s="11">
        <v>0</v>
      </c>
      <c r="L50" s="12">
        <v>0</v>
      </c>
      <c r="M50" s="10" t="s">
        <v>50</v>
      </c>
      <c r="O50" s="10">
        <v>0</v>
      </c>
      <c r="Q50" s="10" t="s">
        <v>33</v>
      </c>
      <c r="S50" s="10" t="s">
        <v>26</v>
      </c>
      <c r="T50" s="10">
        <v>6</v>
      </c>
      <c r="U50" s="10" t="s">
        <v>21</v>
      </c>
    </row>
    <row r="51" spans="1:21" x14ac:dyDescent="0.25">
      <c r="A51" s="10" t="s">
        <v>49</v>
      </c>
      <c r="B51" s="10" t="s">
        <v>37</v>
      </c>
      <c r="E51" s="11">
        <v>-19560.009999999998</v>
      </c>
      <c r="F51" s="11">
        <v>-12450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2">
        <v>0</v>
      </c>
      <c r="M51" s="10" t="s">
        <v>50</v>
      </c>
      <c r="O51" s="10">
        <v>0</v>
      </c>
      <c r="Q51" s="10" t="s">
        <v>33</v>
      </c>
      <c r="S51" s="10" t="s">
        <v>26</v>
      </c>
      <c r="T51" s="10">
        <v>6</v>
      </c>
      <c r="U51" s="10" t="s">
        <v>21</v>
      </c>
    </row>
    <row r="52" spans="1:21" x14ac:dyDescent="0.25">
      <c r="A52" s="10" t="s">
        <v>52</v>
      </c>
      <c r="B52" s="10" t="s">
        <v>37</v>
      </c>
      <c r="E52" s="11">
        <v>-222240.05</v>
      </c>
      <c r="F52" s="11">
        <v>0</v>
      </c>
      <c r="G52" s="11">
        <v>-69490.03</v>
      </c>
      <c r="H52" s="11">
        <v>0</v>
      </c>
      <c r="I52" s="11">
        <v>0</v>
      </c>
      <c r="J52" s="11">
        <v>0</v>
      </c>
      <c r="K52" s="11">
        <v>0</v>
      </c>
      <c r="L52" s="12">
        <v>0</v>
      </c>
      <c r="M52" s="10" t="s">
        <v>50</v>
      </c>
      <c r="O52" s="10">
        <v>0</v>
      </c>
      <c r="Q52" s="10" t="s">
        <v>33</v>
      </c>
      <c r="S52" s="10" t="s">
        <v>26</v>
      </c>
      <c r="T52" s="10">
        <v>6</v>
      </c>
      <c r="U52" s="10" t="s">
        <v>21</v>
      </c>
    </row>
    <row r="53" spans="1:21" x14ac:dyDescent="0.25">
      <c r="A53" s="10" t="s">
        <v>51</v>
      </c>
      <c r="B53" s="10" t="s">
        <v>34</v>
      </c>
      <c r="E53" s="11">
        <v>-82199.990000000005</v>
      </c>
      <c r="F53" s="11">
        <v>-82199.990000000005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2">
        <v>0</v>
      </c>
      <c r="M53" s="10" t="s">
        <v>50</v>
      </c>
      <c r="O53" s="10">
        <v>0</v>
      </c>
      <c r="Q53" s="10" t="s">
        <v>33</v>
      </c>
      <c r="S53" s="10" t="s">
        <v>26</v>
      </c>
      <c r="T53" s="10">
        <v>6</v>
      </c>
      <c r="U53" s="10" t="s">
        <v>22</v>
      </c>
    </row>
    <row r="54" spans="1:21" x14ac:dyDescent="0.25">
      <c r="A54" s="10" t="s">
        <v>52</v>
      </c>
      <c r="B54" s="10" t="s">
        <v>34</v>
      </c>
      <c r="E54" s="11">
        <v>-59439.98</v>
      </c>
      <c r="F54" s="11">
        <v>-59439.98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2">
        <v>0</v>
      </c>
      <c r="M54" s="10" t="s">
        <v>50</v>
      </c>
      <c r="O54" s="10">
        <v>0</v>
      </c>
      <c r="Q54" s="10" t="s">
        <v>33</v>
      </c>
      <c r="S54" s="10" t="s">
        <v>26</v>
      </c>
      <c r="T54" s="10">
        <v>6</v>
      </c>
      <c r="U54" s="10" t="s">
        <v>22</v>
      </c>
    </row>
    <row r="55" spans="1:21" x14ac:dyDescent="0.25">
      <c r="A55" s="10" t="s">
        <v>49</v>
      </c>
      <c r="B55" s="10" t="s">
        <v>35</v>
      </c>
      <c r="E55" s="11">
        <v>3506817.61</v>
      </c>
      <c r="F55" s="11">
        <v>2943558.88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2">
        <v>0</v>
      </c>
      <c r="M55" s="10" t="s">
        <v>50</v>
      </c>
      <c r="O55" s="10">
        <v>0</v>
      </c>
      <c r="Q55" s="10" t="s">
        <v>33</v>
      </c>
      <c r="S55" s="10" t="s">
        <v>26</v>
      </c>
      <c r="T55" s="10">
        <v>6</v>
      </c>
      <c r="U55" s="10" t="s">
        <v>22</v>
      </c>
    </row>
    <row r="56" spans="1:21" x14ac:dyDescent="0.25">
      <c r="A56" s="10" t="s">
        <v>51</v>
      </c>
      <c r="B56" s="10" t="s">
        <v>35</v>
      </c>
      <c r="E56" s="11">
        <v>3821952.85</v>
      </c>
      <c r="F56" s="11">
        <v>3057337.24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2">
        <v>0</v>
      </c>
      <c r="M56" s="10" t="s">
        <v>50</v>
      </c>
      <c r="O56" s="10">
        <v>0</v>
      </c>
      <c r="Q56" s="10" t="s">
        <v>33</v>
      </c>
      <c r="S56" s="10" t="s">
        <v>26</v>
      </c>
      <c r="T56" s="10">
        <v>6</v>
      </c>
      <c r="U56" s="10" t="s">
        <v>22</v>
      </c>
    </row>
    <row r="57" spans="1:21" x14ac:dyDescent="0.25">
      <c r="A57" s="10" t="s">
        <v>52</v>
      </c>
      <c r="B57" s="10" t="s">
        <v>35</v>
      </c>
      <c r="E57" s="11">
        <v>3542137.89</v>
      </c>
      <c r="F57" s="11">
        <v>2961736.9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2">
        <v>0</v>
      </c>
      <c r="M57" s="10" t="s">
        <v>50</v>
      </c>
      <c r="O57" s="10">
        <v>0</v>
      </c>
      <c r="Q57" s="10" t="s">
        <v>33</v>
      </c>
      <c r="S57" s="10" t="s">
        <v>26</v>
      </c>
      <c r="T57" s="10">
        <v>6</v>
      </c>
      <c r="U57" s="10" t="s">
        <v>22</v>
      </c>
    </row>
    <row r="58" spans="1:21" x14ac:dyDescent="0.25">
      <c r="A58" s="10" t="s">
        <v>51</v>
      </c>
      <c r="B58" s="10" t="s">
        <v>36</v>
      </c>
      <c r="E58" s="11">
        <v>11940533.390000001</v>
      </c>
      <c r="F58" s="11">
        <v>0</v>
      </c>
      <c r="G58" s="11">
        <v>0</v>
      </c>
      <c r="H58" s="11">
        <v>5702669.7800000003</v>
      </c>
      <c r="I58" s="11">
        <v>0</v>
      </c>
      <c r="J58" s="11">
        <v>0</v>
      </c>
      <c r="K58" s="11">
        <v>0</v>
      </c>
      <c r="L58" s="12">
        <v>0</v>
      </c>
      <c r="M58" s="10" t="s">
        <v>50</v>
      </c>
      <c r="O58" s="10">
        <v>0</v>
      </c>
      <c r="Q58" s="10" t="s">
        <v>33</v>
      </c>
      <c r="S58" s="10" t="s">
        <v>27</v>
      </c>
      <c r="T58" s="10">
        <v>7</v>
      </c>
      <c r="U58" s="10" t="s">
        <v>21</v>
      </c>
    </row>
    <row r="59" spans="1:21" x14ac:dyDescent="0.25">
      <c r="A59" s="10" t="s">
        <v>49</v>
      </c>
      <c r="B59" s="10" t="s">
        <v>32</v>
      </c>
      <c r="E59" s="11">
        <v>7769615.1600000001</v>
      </c>
      <c r="F59" s="11">
        <v>0</v>
      </c>
      <c r="G59" s="11">
        <v>0</v>
      </c>
      <c r="H59" s="11">
        <v>2204704.7799999998</v>
      </c>
      <c r="I59" s="11">
        <v>0</v>
      </c>
      <c r="J59" s="11">
        <v>0</v>
      </c>
      <c r="K59" s="11">
        <v>0</v>
      </c>
      <c r="L59" s="12">
        <v>0</v>
      </c>
      <c r="M59" s="10" t="s">
        <v>50</v>
      </c>
      <c r="O59" s="10">
        <v>0</v>
      </c>
      <c r="Q59" s="10" t="s">
        <v>33</v>
      </c>
      <c r="S59" s="10" t="s">
        <v>27</v>
      </c>
      <c r="T59" s="10">
        <v>7</v>
      </c>
      <c r="U59" s="10" t="s">
        <v>21</v>
      </c>
    </row>
    <row r="60" spans="1:21" x14ac:dyDescent="0.25">
      <c r="A60" s="10" t="s">
        <v>52</v>
      </c>
      <c r="B60" s="10" t="s">
        <v>32</v>
      </c>
      <c r="E60" s="11">
        <v>9927630.7200000007</v>
      </c>
      <c r="F60" s="11">
        <v>0</v>
      </c>
      <c r="G60" s="11">
        <v>0</v>
      </c>
      <c r="H60" s="11">
        <v>2776799.6</v>
      </c>
      <c r="I60" s="11">
        <v>0</v>
      </c>
      <c r="J60" s="11">
        <v>0</v>
      </c>
      <c r="K60" s="11">
        <v>0</v>
      </c>
      <c r="L60" s="12">
        <v>0</v>
      </c>
      <c r="M60" s="10" t="s">
        <v>50</v>
      </c>
      <c r="O60" s="10">
        <v>0</v>
      </c>
      <c r="Q60" s="10" t="s">
        <v>33</v>
      </c>
      <c r="S60" s="10" t="s">
        <v>27</v>
      </c>
      <c r="T60" s="10">
        <v>7</v>
      </c>
      <c r="U60" s="10" t="s">
        <v>21</v>
      </c>
    </row>
    <row r="61" spans="1:21" x14ac:dyDescent="0.25">
      <c r="A61" s="10" t="s">
        <v>49</v>
      </c>
      <c r="B61" s="10" t="s">
        <v>37</v>
      </c>
      <c r="E61" s="11">
        <v>-18499.98</v>
      </c>
      <c r="F61" s="11">
        <v>-3500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2">
        <v>0</v>
      </c>
      <c r="M61" s="10" t="s">
        <v>50</v>
      </c>
      <c r="O61" s="10">
        <v>0</v>
      </c>
      <c r="Q61" s="10" t="s">
        <v>33</v>
      </c>
      <c r="S61" s="10" t="s">
        <v>27</v>
      </c>
      <c r="T61" s="10">
        <v>7</v>
      </c>
      <c r="U61" s="10" t="s">
        <v>21</v>
      </c>
    </row>
    <row r="62" spans="1:21" x14ac:dyDescent="0.25">
      <c r="A62" s="10" t="s">
        <v>51</v>
      </c>
      <c r="B62" s="10" t="s">
        <v>37</v>
      </c>
      <c r="E62" s="11">
        <v>-167328.38</v>
      </c>
      <c r="F62" s="11">
        <v>0</v>
      </c>
      <c r="G62" s="11">
        <v>-55750.01</v>
      </c>
      <c r="H62" s="11">
        <v>0</v>
      </c>
      <c r="I62" s="11">
        <v>0</v>
      </c>
      <c r="J62" s="11">
        <v>0</v>
      </c>
      <c r="K62" s="11">
        <v>0</v>
      </c>
      <c r="L62" s="12">
        <v>0</v>
      </c>
      <c r="M62" s="10" t="s">
        <v>50</v>
      </c>
      <c r="O62" s="10">
        <v>0</v>
      </c>
      <c r="Q62" s="10" t="s">
        <v>33</v>
      </c>
      <c r="S62" s="10" t="s">
        <v>27</v>
      </c>
      <c r="T62" s="10">
        <v>7</v>
      </c>
      <c r="U62" s="10" t="s">
        <v>21</v>
      </c>
    </row>
    <row r="63" spans="1:21" x14ac:dyDescent="0.25">
      <c r="A63" s="10" t="s">
        <v>52</v>
      </c>
      <c r="B63" s="10" t="s">
        <v>37</v>
      </c>
      <c r="E63" s="11">
        <v>-66170.02</v>
      </c>
      <c r="F63" s="11">
        <v>0</v>
      </c>
      <c r="G63" s="11">
        <v>-15200.01</v>
      </c>
      <c r="H63" s="11">
        <v>0</v>
      </c>
      <c r="I63" s="11">
        <v>0</v>
      </c>
      <c r="J63" s="11">
        <v>0</v>
      </c>
      <c r="K63" s="11">
        <v>0</v>
      </c>
      <c r="L63" s="12">
        <v>0</v>
      </c>
      <c r="M63" s="10" t="s">
        <v>50</v>
      </c>
      <c r="O63" s="10">
        <v>0</v>
      </c>
      <c r="Q63" s="10" t="s">
        <v>33</v>
      </c>
      <c r="S63" s="10" t="s">
        <v>27</v>
      </c>
      <c r="T63" s="10">
        <v>7</v>
      </c>
      <c r="U63" s="10" t="s">
        <v>21</v>
      </c>
    </row>
    <row r="64" spans="1:21" x14ac:dyDescent="0.25">
      <c r="A64" s="10" t="s">
        <v>49</v>
      </c>
      <c r="B64" s="10" t="s">
        <v>34</v>
      </c>
      <c r="E64" s="11">
        <v>-6549</v>
      </c>
      <c r="F64" s="11">
        <v>-6549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2">
        <v>0</v>
      </c>
      <c r="M64" s="10" t="s">
        <v>50</v>
      </c>
      <c r="O64" s="10">
        <v>0</v>
      </c>
      <c r="Q64" s="10" t="s">
        <v>33</v>
      </c>
      <c r="S64" s="10" t="s">
        <v>27</v>
      </c>
      <c r="T64" s="10">
        <v>7</v>
      </c>
      <c r="U64" s="10" t="s">
        <v>22</v>
      </c>
    </row>
    <row r="65" spans="1:21" x14ac:dyDescent="0.25">
      <c r="A65" s="10" t="s">
        <v>52</v>
      </c>
      <c r="B65" s="10" t="s">
        <v>34</v>
      </c>
      <c r="E65" s="11">
        <v>-7600</v>
      </c>
      <c r="F65" s="11">
        <v>-7600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2">
        <v>0</v>
      </c>
      <c r="M65" s="10" t="s">
        <v>50</v>
      </c>
      <c r="O65" s="10">
        <v>0</v>
      </c>
      <c r="Q65" s="10" t="s">
        <v>33</v>
      </c>
      <c r="S65" s="10" t="s">
        <v>27</v>
      </c>
      <c r="T65" s="10">
        <v>7</v>
      </c>
      <c r="U65" s="10" t="s">
        <v>22</v>
      </c>
    </row>
    <row r="66" spans="1:21" x14ac:dyDescent="0.25">
      <c r="A66" s="10" t="s">
        <v>49</v>
      </c>
      <c r="B66" s="10" t="s">
        <v>35</v>
      </c>
      <c r="E66" s="11">
        <v>864898.53</v>
      </c>
      <c r="F66" s="11">
        <v>842502.79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2">
        <v>0</v>
      </c>
      <c r="M66" s="10" t="s">
        <v>50</v>
      </c>
      <c r="O66" s="10">
        <v>0</v>
      </c>
      <c r="Q66" s="10" t="s">
        <v>33</v>
      </c>
      <c r="S66" s="10" t="s">
        <v>27</v>
      </c>
      <c r="T66" s="10">
        <v>7</v>
      </c>
      <c r="U66" s="10" t="s">
        <v>22</v>
      </c>
    </row>
    <row r="67" spans="1:21" x14ac:dyDescent="0.25">
      <c r="A67" s="10" t="s">
        <v>51</v>
      </c>
      <c r="B67" s="10" t="s">
        <v>35</v>
      </c>
      <c r="E67" s="11">
        <v>210981.29</v>
      </c>
      <c r="F67" s="11">
        <v>186650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2">
        <v>0</v>
      </c>
      <c r="M67" s="10" t="s">
        <v>50</v>
      </c>
      <c r="O67" s="10">
        <v>0</v>
      </c>
      <c r="Q67" s="10" t="s">
        <v>33</v>
      </c>
      <c r="S67" s="10" t="s">
        <v>27</v>
      </c>
      <c r="T67" s="10">
        <v>7</v>
      </c>
      <c r="U67" s="10" t="s">
        <v>22</v>
      </c>
    </row>
    <row r="68" spans="1:21" x14ac:dyDescent="0.25">
      <c r="A68" s="10" t="s">
        <v>52</v>
      </c>
      <c r="B68" s="10" t="s">
        <v>35</v>
      </c>
      <c r="E68" s="11">
        <v>283383.03999999998</v>
      </c>
      <c r="F68" s="11">
        <v>231200.04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2">
        <v>0</v>
      </c>
      <c r="M68" s="10" t="s">
        <v>50</v>
      </c>
      <c r="O68" s="10">
        <v>0</v>
      </c>
      <c r="Q68" s="10" t="s">
        <v>33</v>
      </c>
      <c r="S68" s="10" t="s">
        <v>27</v>
      </c>
      <c r="T68" s="10">
        <v>7</v>
      </c>
      <c r="U68" s="10" t="s">
        <v>22</v>
      </c>
    </row>
    <row r="69" spans="1:21" x14ac:dyDescent="0.25">
      <c r="A69" s="10" t="s">
        <v>49</v>
      </c>
      <c r="B69" s="10" t="s">
        <v>32</v>
      </c>
      <c r="E69" s="11">
        <v>2233577.14</v>
      </c>
      <c r="F69" s="11">
        <v>713023.57</v>
      </c>
      <c r="G69" s="11">
        <v>1125026.8500000001</v>
      </c>
      <c r="H69" s="11">
        <v>204977.72</v>
      </c>
      <c r="I69" s="11">
        <v>190549</v>
      </c>
      <c r="J69" s="11">
        <v>0</v>
      </c>
      <c r="K69" s="11">
        <v>0</v>
      </c>
      <c r="L69" s="12">
        <v>0</v>
      </c>
      <c r="M69" s="10" t="s">
        <v>50</v>
      </c>
      <c r="O69" s="10">
        <v>0</v>
      </c>
      <c r="Q69" s="10" t="s">
        <v>33</v>
      </c>
      <c r="S69" s="10" t="s">
        <v>54</v>
      </c>
      <c r="T69" s="10">
        <v>8</v>
      </c>
      <c r="U69" s="10" t="s">
        <v>21</v>
      </c>
    </row>
    <row r="70" spans="1:21" x14ac:dyDescent="0.25">
      <c r="A70" s="10" t="s">
        <v>49</v>
      </c>
      <c r="B70" s="10" t="s">
        <v>37</v>
      </c>
      <c r="E70" s="11">
        <v>-3944.5</v>
      </c>
      <c r="F70" s="11">
        <v>-3944.5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2">
        <v>0</v>
      </c>
      <c r="M70" s="10" t="s">
        <v>50</v>
      </c>
      <c r="O70" s="10">
        <v>0</v>
      </c>
      <c r="Q70" s="10" t="s">
        <v>33</v>
      </c>
      <c r="S70" s="10" t="s">
        <v>54</v>
      </c>
      <c r="T70" s="10">
        <v>8</v>
      </c>
      <c r="U70" s="10" t="s">
        <v>21</v>
      </c>
    </row>
    <row r="71" spans="1:21" x14ac:dyDescent="0.25">
      <c r="A71" s="10" t="s">
        <v>49</v>
      </c>
      <c r="B71" s="10" t="s">
        <v>35</v>
      </c>
      <c r="E71" s="11">
        <v>362424.52</v>
      </c>
      <c r="F71" s="11">
        <v>362424.52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2">
        <v>0</v>
      </c>
      <c r="M71" s="10" t="s">
        <v>50</v>
      </c>
      <c r="O71" s="10">
        <v>0</v>
      </c>
      <c r="Q71" s="10" t="s">
        <v>33</v>
      </c>
      <c r="S71" s="10" t="s">
        <v>54</v>
      </c>
      <c r="T71" s="10">
        <v>8</v>
      </c>
      <c r="U71" s="10" t="s">
        <v>22</v>
      </c>
    </row>
    <row r="72" spans="1:21" x14ac:dyDescent="0.25">
      <c r="A72" s="10" t="s">
        <v>49</v>
      </c>
      <c r="B72" s="10" t="s">
        <v>32</v>
      </c>
      <c r="E72" s="11">
        <v>9930652.3900000006</v>
      </c>
      <c r="F72" s="11">
        <v>3881778.63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2">
        <v>0</v>
      </c>
      <c r="M72" s="10" t="s">
        <v>50</v>
      </c>
      <c r="O72" s="10">
        <v>0</v>
      </c>
      <c r="Q72" s="10" t="s">
        <v>33</v>
      </c>
      <c r="S72" s="10" t="s">
        <v>28</v>
      </c>
      <c r="T72" s="10">
        <v>9</v>
      </c>
      <c r="U72" s="10" t="s">
        <v>21</v>
      </c>
    </row>
    <row r="73" spans="1:21" x14ac:dyDescent="0.25">
      <c r="A73" s="10" t="s">
        <v>51</v>
      </c>
      <c r="B73" s="10" t="s">
        <v>32</v>
      </c>
      <c r="E73" s="11">
        <v>13577890.82</v>
      </c>
      <c r="F73" s="11">
        <v>5166983.8099999996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2">
        <v>0</v>
      </c>
      <c r="M73" s="10" t="s">
        <v>50</v>
      </c>
      <c r="O73" s="10">
        <v>0</v>
      </c>
      <c r="Q73" s="10" t="s">
        <v>33</v>
      </c>
      <c r="S73" s="10" t="s">
        <v>28</v>
      </c>
      <c r="T73" s="10">
        <v>9</v>
      </c>
      <c r="U73" s="10" t="s">
        <v>21</v>
      </c>
    </row>
    <row r="74" spans="1:21" x14ac:dyDescent="0.25">
      <c r="A74" s="10" t="s">
        <v>52</v>
      </c>
      <c r="B74" s="10" t="s">
        <v>32</v>
      </c>
      <c r="E74" s="11">
        <v>9127906.1799999997</v>
      </c>
      <c r="F74" s="11">
        <v>2483929.79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2">
        <v>0</v>
      </c>
      <c r="M74" s="10" t="s">
        <v>50</v>
      </c>
      <c r="O74" s="10">
        <v>0</v>
      </c>
      <c r="Q74" s="10" t="s">
        <v>33</v>
      </c>
      <c r="S74" s="10" t="s">
        <v>28</v>
      </c>
      <c r="T74" s="10">
        <v>9</v>
      </c>
      <c r="U74" s="10" t="s">
        <v>21</v>
      </c>
    </row>
    <row r="75" spans="1:21" x14ac:dyDescent="0.25">
      <c r="A75" s="10" t="s">
        <v>49</v>
      </c>
      <c r="B75" s="10" t="s">
        <v>37</v>
      </c>
      <c r="E75" s="11">
        <v>-9000</v>
      </c>
      <c r="F75" s="11">
        <v>0</v>
      </c>
      <c r="G75" s="11">
        <v>0</v>
      </c>
      <c r="H75" s="11">
        <v>-5500</v>
      </c>
      <c r="I75" s="11">
        <v>0</v>
      </c>
      <c r="J75" s="11">
        <v>0</v>
      </c>
      <c r="K75" s="11">
        <v>-3500</v>
      </c>
      <c r="L75" s="12">
        <v>0</v>
      </c>
      <c r="M75" s="10" t="s">
        <v>50</v>
      </c>
      <c r="O75" s="10">
        <v>0</v>
      </c>
      <c r="Q75" s="10" t="s">
        <v>33</v>
      </c>
      <c r="S75" s="10" t="s">
        <v>28</v>
      </c>
      <c r="T75" s="10">
        <v>9</v>
      </c>
      <c r="U75" s="10" t="s">
        <v>21</v>
      </c>
    </row>
    <row r="76" spans="1:21" x14ac:dyDescent="0.25">
      <c r="A76" s="10" t="s">
        <v>51</v>
      </c>
      <c r="B76" s="10" t="s">
        <v>37</v>
      </c>
      <c r="E76" s="11">
        <v>-2900</v>
      </c>
      <c r="F76" s="11">
        <v>0</v>
      </c>
      <c r="G76" s="11">
        <v>0</v>
      </c>
      <c r="H76" s="11">
        <v>-2900</v>
      </c>
      <c r="I76" s="11">
        <v>0</v>
      </c>
      <c r="J76" s="11">
        <v>0</v>
      </c>
      <c r="K76" s="11">
        <v>0</v>
      </c>
      <c r="L76" s="12">
        <v>0</v>
      </c>
      <c r="M76" s="10" t="s">
        <v>50</v>
      </c>
      <c r="O76" s="10">
        <v>0</v>
      </c>
      <c r="Q76" s="10" t="s">
        <v>33</v>
      </c>
      <c r="S76" s="10" t="s">
        <v>28</v>
      </c>
      <c r="T76" s="10">
        <v>9</v>
      </c>
      <c r="U76" s="10" t="s">
        <v>21</v>
      </c>
    </row>
    <row r="77" spans="1:21" x14ac:dyDescent="0.25">
      <c r="A77" s="10" t="s">
        <v>52</v>
      </c>
      <c r="B77" s="10" t="s">
        <v>37</v>
      </c>
      <c r="E77" s="11">
        <v>-14599.98</v>
      </c>
      <c r="F77" s="11">
        <v>-5400</v>
      </c>
      <c r="G77" s="11">
        <v>0</v>
      </c>
      <c r="H77" s="11">
        <v>-9199.98</v>
      </c>
      <c r="I77" s="11">
        <v>0</v>
      </c>
      <c r="J77" s="11">
        <v>0</v>
      </c>
      <c r="K77" s="11">
        <v>0</v>
      </c>
      <c r="L77" s="12">
        <v>0</v>
      </c>
      <c r="M77" s="10" t="s">
        <v>50</v>
      </c>
      <c r="O77" s="10">
        <v>0</v>
      </c>
      <c r="Q77" s="10" t="s">
        <v>33</v>
      </c>
      <c r="S77" s="10" t="s">
        <v>28</v>
      </c>
      <c r="T77" s="10">
        <v>9</v>
      </c>
      <c r="U77" s="10" t="s">
        <v>21</v>
      </c>
    </row>
    <row r="78" spans="1:21" x14ac:dyDescent="0.25">
      <c r="A78" s="10" t="s">
        <v>51</v>
      </c>
      <c r="B78" s="10" t="s">
        <v>34</v>
      </c>
      <c r="E78" s="11">
        <v>-6500</v>
      </c>
      <c r="F78" s="11">
        <v>-6500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2">
        <v>0</v>
      </c>
      <c r="M78" s="10" t="s">
        <v>50</v>
      </c>
      <c r="O78" s="10">
        <v>0</v>
      </c>
      <c r="Q78" s="10" t="s">
        <v>33</v>
      </c>
      <c r="S78" s="10" t="s">
        <v>28</v>
      </c>
      <c r="T78" s="10">
        <v>9</v>
      </c>
      <c r="U78" s="10" t="s">
        <v>22</v>
      </c>
    </row>
    <row r="79" spans="1:21" x14ac:dyDescent="0.25">
      <c r="A79" s="10" t="s">
        <v>52</v>
      </c>
      <c r="B79" s="10" t="s">
        <v>34</v>
      </c>
      <c r="E79" s="11">
        <v>-10899.98</v>
      </c>
      <c r="F79" s="11">
        <v>-10899.98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2">
        <v>0</v>
      </c>
      <c r="M79" s="10" t="s">
        <v>50</v>
      </c>
      <c r="O79" s="10">
        <v>0</v>
      </c>
      <c r="Q79" s="10" t="s">
        <v>33</v>
      </c>
      <c r="S79" s="10" t="s">
        <v>28</v>
      </c>
      <c r="T79" s="10">
        <v>9</v>
      </c>
      <c r="U79" s="10" t="s">
        <v>22</v>
      </c>
    </row>
    <row r="80" spans="1:21" x14ac:dyDescent="0.25">
      <c r="A80" s="10" t="s">
        <v>49</v>
      </c>
      <c r="B80" s="10" t="s">
        <v>35</v>
      </c>
      <c r="E80" s="11">
        <v>67809.3</v>
      </c>
      <c r="F80" s="11">
        <v>15800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2">
        <v>0</v>
      </c>
      <c r="M80" s="10" t="s">
        <v>50</v>
      </c>
      <c r="O80" s="10">
        <v>0</v>
      </c>
      <c r="Q80" s="10" t="s">
        <v>33</v>
      </c>
      <c r="S80" s="10" t="s">
        <v>28</v>
      </c>
      <c r="T80" s="10">
        <v>9</v>
      </c>
      <c r="U80" s="10" t="s">
        <v>22</v>
      </c>
    </row>
    <row r="81" spans="1:21" x14ac:dyDescent="0.25">
      <c r="A81" s="10" t="s">
        <v>51</v>
      </c>
      <c r="B81" s="10" t="s">
        <v>35</v>
      </c>
      <c r="E81" s="11">
        <v>132224.98000000001</v>
      </c>
      <c r="F81" s="11">
        <v>68600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2">
        <v>0</v>
      </c>
      <c r="M81" s="10" t="s">
        <v>50</v>
      </c>
      <c r="O81" s="10">
        <v>0</v>
      </c>
      <c r="Q81" s="10" t="s">
        <v>33</v>
      </c>
      <c r="S81" s="10" t="s">
        <v>28</v>
      </c>
      <c r="T81" s="10">
        <v>9</v>
      </c>
      <c r="U81" s="10" t="s">
        <v>22</v>
      </c>
    </row>
    <row r="82" spans="1:21" x14ac:dyDescent="0.25">
      <c r="A82" s="10" t="s">
        <v>52</v>
      </c>
      <c r="B82" s="10" t="s">
        <v>35</v>
      </c>
      <c r="E82" s="11">
        <v>1523180.17</v>
      </c>
      <c r="F82" s="11">
        <v>1495120.16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2">
        <v>0</v>
      </c>
      <c r="M82" s="10" t="s">
        <v>50</v>
      </c>
      <c r="O82" s="10">
        <v>0</v>
      </c>
      <c r="Q82" s="10" t="s">
        <v>33</v>
      </c>
      <c r="S82" s="10" t="s">
        <v>28</v>
      </c>
      <c r="T82" s="10">
        <v>9</v>
      </c>
      <c r="U82" s="10" t="s">
        <v>22</v>
      </c>
    </row>
    <row r="83" spans="1:21" x14ac:dyDescent="0.25">
      <c r="A83" s="10" t="s">
        <v>51</v>
      </c>
      <c r="B83" s="10" t="s">
        <v>36</v>
      </c>
      <c r="E83" s="11">
        <v>17810652.170000002</v>
      </c>
      <c r="F83" s="11">
        <v>0</v>
      </c>
      <c r="G83" s="11">
        <v>0</v>
      </c>
      <c r="H83" s="11">
        <v>9457898.6400000006</v>
      </c>
      <c r="I83" s="11">
        <v>0</v>
      </c>
      <c r="J83" s="11">
        <v>0</v>
      </c>
      <c r="K83" s="11">
        <v>0</v>
      </c>
      <c r="L83" s="12">
        <v>0</v>
      </c>
      <c r="M83" s="10" t="s">
        <v>50</v>
      </c>
      <c r="O83" s="10">
        <v>0</v>
      </c>
      <c r="Q83" s="10" t="s">
        <v>33</v>
      </c>
      <c r="S83" s="10" t="s">
        <v>29</v>
      </c>
      <c r="T83" s="10">
        <v>10</v>
      </c>
      <c r="U83" s="10" t="s">
        <v>21</v>
      </c>
    </row>
    <row r="84" spans="1:21" x14ac:dyDescent="0.25">
      <c r="A84" s="10" t="s">
        <v>52</v>
      </c>
      <c r="B84" s="10" t="s">
        <v>36</v>
      </c>
      <c r="E84" s="11">
        <v>16315696.699999999</v>
      </c>
      <c r="F84" s="11">
        <v>0</v>
      </c>
      <c r="G84" s="11">
        <v>0</v>
      </c>
      <c r="H84" s="11">
        <v>8830844.1999999993</v>
      </c>
      <c r="I84" s="11">
        <v>0</v>
      </c>
      <c r="J84" s="11">
        <v>0</v>
      </c>
      <c r="K84" s="11">
        <v>0</v>
      </c>
      <c r="L84" s="12">
        <v>0</v>
      </c>
      <c r="M84" s="10" t="s">
        <v>50</v>
      </c>
      <c r="O84" s="10">
        <v>0</v>
      </c>
      <c r="Q84" s="10" t="s">
        <v>33</v>
      </c>
      <c r="S84" s="10" t="s">
        <v>29</v>
      </c>
      <c r="T84" s="10">
        <v>10</v>
      </c>
      <c r="U84" s="10" t="s">
        <v>21</v>
      </c>
    </row>
    <row r="85" spans="1:21" x14ac:dyDescent="0.25">
      <c r="A85" s="10" t="s">
        <v>49</v>
      </c>
      <c r="B85" s="10" t="s">
        <v>32</v>
      </c>
      <c r="E85" s="11">
        <v>13399601.310000001</v>
      </c>
      <c r="F85" s="11">
        <v>0</v>
      </c>
      <c r="G85" s="11">
        <v>0</v>
      </c>
      <c r="H85" s="11">
        <v>4928628.04</v>
      </c>
      <c r="I85" s="11">
        <v>0</v>
      </c>
      <c r="J85" s="11">
        <v>0</v>
      </c>
      <c r="K85" s="11">
        <v>0</v>
      </c>
      <c r="L85" s="12">
        <v>0</v>
      </c>
      <c r="M85" s="10" t="s">
        <v>50</v>
      </c>
      <c r="O85" s="10">
        <v>0</v>
      </c>
      <c r="Q85" s="10" t="s">
        <v>33</v>
      </c>
      <c r="S85" s="10" t="s">
        <v>29</v>
      </c>
      <c r="T85" s="10">
        <v>10</v>
      </c>
      <c r="U85" s="10" t="s">
        <v>21</v>
      </c>
    </row>
    <row r="86" spans="1:21" x14ac:dyDescent="0.25">
      <c r="A86" s="10" t="s">
        <v>49</v>
      </c>
      <c r="B86" s="10" t="s">
        <v>37</v>
      </c>
      <c r="E86" s="11">
        <v>-3199.99</v>
      </c>
      <c r="F86" s="11">
        <v>0</v>
      </c>
      <c r="G86" s="11">
        <v>-3199.99</v>
      </c>
      <c r="H86" s="11">
        <v>0</v>
      </c>
      <c r="I86" s="11">
        <v>0</v>
      </c>
      <c r="J86" s="11">
        <v>0</v>
      </c>
      <c r="K86" s="11">
        <v>0</v>
      </c>
      <c r="L86" s="12">
        <v>0</v>
      </c>
      <c r="M86" s="10" t="s">
        <v>50</v>
      </c>
      <c r="O86" s="10">
        <v>0</v>
      </c>
      <c r="Q86" s="10" t="s">
        <v>33</v>
      </c>
      <c r="S86" s="10" t="s">
        <v>29</v>
      </c>
      <c r="T86" s="10">
        <v>10</v>
      </c>
      <c r="U86" s="10" t="s">
        <v>21</v>
      </c>
    </row>
    <row r="87" spans="1:21" x14ac:dyDescent="0.25">
      <c r="A87" s="10" t="s">
        <v>51</v>
      </c>
      <c r="B87" s="10" t="s">
        <v>37</v>
      </c>
      <c r="E87" s="11">
        <v>-55299.98</v>
      </c>
      <c r="F87" s="11">
        <v>0</v>
      </c>
      <c r="G87" s="11">
        <v>-20899.990000000002</v>
      </c>
      <c r="H87" s="11">
        <v>0</v>
      </c>
      <c r="I87" s="11">
        <v>0</v>
      </c>
      <c r="J87" s="11">
        <v>0</v>
      </c>
      <c r="K87" s="11">
        <v>0</v>
      </c>
      <c r="L87" s="12">
        <v>0</v>
      </c>
      <c r="M87" s="10" t="s">
        <v>50</v>
      </c>
      <c r="O87" s="10">
        <v>0</v>
      </c>
      <c r="Q87" s="10" t="s">
        <v>33</v>
      </c>
      <c r="S87" s="10" t="s">
        <v>29</v>
      </c>
      <c r="T87" s="10">
        <v>10</v>
      </c>
      <c r="U87" s="10" t="s">
        <v>21</v>
      </c>
    </row>
    <row r="88" spans="1:21" x14ac:dyDescent="0.25">
      <c r="A88" s="10" t="s">
        <v>52</v>
      </c>
      <c r="B88" s="10" t="s">
        <v>37</v>
      </c>
      <c r="E88" s="11">
        <v>-83370.02</v>
      </c>
      <c r="F88" s="11">
        <v>0</v>
      </c>
      <c r="G88" s="11">
        <v>-7800</v>
      </c>
      <c r="H88" s="11">
        <v>0</v>
      </c>
      <c r="I88" s="11">
        <v>0</v>
      </c>
      <c r="J88" s="11">
        <v>0</v>
      </c>
      <c r="K88" s="11">
        <v>0</v>
      </c>
      <c r="L88" s="12">
        <v>0</v>
      </c>
      <c r="M88" s="10" t="s">
        <v>50</v>
      </c>
      <c r="O88" s="10">
        <v>0</v>
      </c>
      <c r="Q88" s="10" t="s">
        <v>33</v>
      </c>
      <c r="S88" s="10" t="s">
        <v>29</v>
      </c>
      <c r="T88" s="10">
        <v>10</v>
      </c>
      <c r="U88" s="10" t="s">
        <v>21</v>
      </c>
    </row>
    <row r="89" spans="1:21" x14ac:dyDescent="0.25">
      <c r="A89" s="10" t="s">
        <v>49</v>
      </c>
      <c r="B89" s="10" t="s">
        <v>34</v>
      </c>
      <c r="E89" s="11">
        <v>-16759.990000000002</v>
      </c>
      <c r="F89" s="11">
        <v>-16759.990000000002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2">
        <v>0</v>
      </c>
      <c r="M89" s="10" t="s">
        <v>50</v>
      </c>
      <c r="O89" s="10">
        <v>0</v>
      </c>
      <c r="Q89" s="10" t="s">
        <v>33</v>
      </c>
      <c r="S89" s="10" t="s">
        <v>29</v>
      </c>
      <c r="T89" s="10">
        <v>10</v>
      </c>
      <c r="U89" s="10" t="s">
        <v>22</v>
      </c>
    </row>
    <row r="90" spans="1:21" x14ac:dyDescent="0.25">
      <c r="A90" s="10" t="s">
        <v>52</v>
      </c>
      <c r="B90" s="10" t="s">
        <v>34</v>
      </c>
      <c r="E90" s="11">
        <v>-24200.02</v>
      </c>
      <c r="F90" s="11">
        <v>-24200.02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2">
        <v>0</v>
      </c>
      <c r="M90" s="10" t="s">
        <v>50</v>
      </c>
      <c r="O90" s="10">
        <v>0</v>
      </c>
      <c r="Q90" s="10" t="s">
        <v>33</v>
      </c>
      <c r="S90" s="10" t="s">
        <v>29</v>
      </c>
      <c r="T90" s="10">
        <v>10</v>
      </c>
      <c r="U90" s="10" t="s">
        <v>22</v>
      </c>
    </row>
    <row r="91" spans="1:21" x14ac:dyDescent="0.25">
      <c r="A91" s="10" t="s">
        <v>49</v>
      </c>
      <c r="B91" s="10" t="s">
        <v>35</v>
      </c>
      <c r="E91" s="11">
        <v>3643082.84</v>
      </c>
      <c r="F91" s="11">
        <v>3555365.82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2">
        <v>0</v>
      </c>
      <c r="M91" s="10" t="s">
        <v>50</v>
      </c>
      <c r="O91" s="10">
        <v>0</v>
      </c>
      <c r="Q91" s="10" t="s">
        <v>33</v>
      </c>
      <c r="S91" s="10" t="s">
        <v>29</v>
      </c>
      <c r="T91" s="10">
        <v>10</v>
      </c>
      <c r="U91" s="10" t="s">
        <v>22</v>
      </c>
    </row>
    <row r="92" spans="1:21" x14ac:dyDescent="0.25">
      <c r="A92" s="10" t="s">
        <v>51</v>
      </c>
      <c r="B92" s="10" t="s">
        <v>35</v>
      </c>
      <c r="E92" s="11">
        <v>1484113.18</v>
      </c>
      <c r="F92" s="11">
        <v>1408163.17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2">
        <v>0</v>
      </c>
      <c r="M92" s="10" t="s">
        <v>50</v>
      </c>
      <c r="O92" s="10">
        <v>0</v>
      </c>
      <c r="Q92" s="10" t="s">
        <v>33</v>
      </c>
      <c r="S92" s="10" t="s">
        <v>29</v>
      </c>
      <c r="T92" s="10">
        <v>10</v>
      </c>
      <c r="U92" s="10" t="s">
        <v>22</v>
      </c>
    </row>
    <row r="93" spans="1:21" x14ac:dyDescent="0.25">
      <c r="A93" s="10" t="s">
        <v>52</v>
      </c>
      <c r="B93" s="10" t="s">
        <v>35</v>
      </c>
      <c r="E93" s="11">
        <v>852683.24</v>
      </c>
      <c r="F93" s="11">
        <v>811518.21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2">
        <v>0</v>
      </c>
      <c r="M93" s="10" t="s">
        <v>50</v>
      </c>
      <c r="O93" s="10">
        <v>0</v>
      </c>
      <c r="Q93" s="10" t="s">
        <v>33</v>
      </c>
      <c r="S93" s="10" t="s">
        <v>29</v>
      </c>
      <c r="T93" s="10">
        <v>10</v>
      </c>
      <c r="U93" s="10" t="s">
        <v>22</v>
      </c>
    </row>
    <row r="94" spans="1:21" x14ac:dyDescent="0.25">
      <c r="A94" s="10" t="s">
        <v>51</v>
      </c>
      <c r="B94" s="10" t="s">
        <v>36</v>
      </c>
      <c r="E94" s="11">
        <v>16566452.74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808217.96</v>
      </c>
      <c r="L94" s="12">
        <v>0</v>
      </c>
      <c r="M94" s="10" t="s">
        <v>50</v>
      </c>
      <c r="O94" s="10">
        <v>0</v>
      </c>
      <c r="Q94" s="10" t="s">
        <v>33</v>
      </c>
      <c r="S94" s="10" t="s">
        <v>30</v>
      </c>
      <c r="T94" s="10">
        <v>11</v>
      </c>
      <c r="U94" s="10" t="s">
        <v>21</v>
      </c>
    </row>
    <row r="95" spans="1:21" x14ac:dyDescent="0.25">
      <c r="A95" s="10" t="s">
        <v>52</v>
      </c>
      <c r="B95" s="10" t="s">
        <v>36</v>
      </c>
      <c r="E95" s="11">
        <v>15973219.060000001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579118.06000000006</v>
      </c>
      <c r="L95" s="12">
        <v>0</v>
      </c>
      <c r="M95" s="10" t="s">
        <v>50</v>
      </c>
      <c r="O95" s="10">
        <v>0</v>
      </c>
      <c r="Q95" s="10" t="s">
        <v>33</v>
      </c>
      <c r="S95" s="10" t="s">
        <v>30</v>
      </c>
      <c r="T95" s="10">
        <v>11</v>
      </c>
      <c r="U95" s="10" t="s">
        <v>21</v>
      </c>
    </row>
    <row r="96" spans="1:21" x14ac:dyDescent="0.25">
      <c r="A96" s="10" t="s">
        <v>49</v>
      </c>
      <c r="B96" s="10" t="s">
        <v>32</v>
      </c>
      <c r="E96" s="11">
        <v>14479059.33</v>
      </c>
      <c r="F96" s="11">
        <v>0</v>
      </c>
      <c r="G96" s="11">
        <v>0</v>
      </c>
      <c r="H96" s="11">
        <v>9220689.7300000004</v>
      </c>
      <c r="I96" s="11">
        <v>0</v>
      </c>
      <c r="J96" s="11">
        <v>0</v>
      </c>
      <c r="K96" s="11">
        <v>0</v>
      </c>
      <c r="L96" s="12">
        <v>0</v>
      </c>
      <c r="M96" s="10" t="s">
        <v>50</v>
      </c>
      <c r="O96" s="10">
        <v>0</v>
      </c>
      <c r="Q96" s="10" t="s">
        <v>33</v>
      </c>
      <c r="S96" s="10" t="s">
        <v>30</v>
      </c>
      <c r="T96" s="10">
        <v>11</v>
      </c>
      <c r="U96" s="10" t="s">
        <v>21</v>
      </c>
    </row>
    <row r="97" spans="1:21" x14ac:dyDescent="0.25">
      <c r="A97" s="10" t="s">
        <v>49</v>
      </c>
      <c r="B97" s="10" t="s">
        <v>37</v>
      </c>
      <c r="E97" s="11">
        <v>-28200</v>
      </c>
      <c r="F97" s="11">
        <v>0</v>
      </c>
      <c r="G97" s="11">
        <v>0</v>
      </c>
      <c r="H97" s="11">
        <v>-15500</v>
      </c>
      <c r="I97" s="11">
        <v>-12700</v>
      </c>
      <c r="J97" s="11">
        <v>0</v>
      </c>
      <c r="K97" s="11">
        <v>0</v>
      </c>
      <c r="L97" s="12">
        <v>0</v>
      </c>
      <c r="M97" s="10" t="s">
        <v>50</v>
      </c>
      <c r="O97" s="10">
        <v>0</v>
      </c>
      <c r="Q97" s="10" t="s">
        <v>33</v>
      </c>
      <c r="S97" s="10" t="s">
        <v>30</v>
      </c>
      <c r="T97" s="10">
        <v>11</v>
      </c>
      <c r="U97" s="10" t="s">
        <v>21</v>
      </c>
    </row>
    <row r="98" spans="1:21" x14ac:dyDescent="0.25">
      <c r="A98" s="10" t="s">
        <v>51</v>
      </c>
      <c r="B98" s="10" t="s">
        <v>37</v>
      </c>
      <c r="E98" s="11">
        <v>-38500</v>
      </c>
      <c r="F98" s="11">
        <v>0</v>
      </c>
      <c r="G98" s="11">
        <v>0</v>
      </c>
      <c r="H98" s="11">
        <v>-38500</v>
      </c>
      <c r="I98" s="11">
        <v>0</v>
      </c>
      <c r="J98" s="11">
        <v>0</v>
      </c>
      <c r="K98" s="11">
        <v>0</v>
      </c>
      <c r="L98" s="12">
        <v>0</v>
      </c>
      <c r="M98" s="10" t="s">
        <v>50</v>
      </c>
      <c r="O98" s="10">
        <v>0</v>
      </c>
      <c r="Q98" s="10" t="s">
        <v>33</v>
      </c>
      <c r="S98" s="10" t="s">
        <v>30</v>
      </c>
      <c r="T98" s="10">
        <v>11</v>
      </c>
      <c r="U98" s="10" t="s">
        <v>21</v>
      </c>
    </row>
    <row r="99" spans="1:21" x14ac:dyDescent="0.25">
      <c r="A99" s="10" t="s">
        <v>52</v>
      </c>
      <c r="B99" s="10" t="s">
        <v>37</v>
      </c>
      <c r="E99" s="11">
        <v>-2400</v>
      </c>
      <c r="F99" s="11">
        <v>-1900</v>
      </c>
      <c r="G99" s="11">
        <v>-500</v>
      </c>
      <c r="H99" s="11">
        <v>0</v>
      </c>
      <c r="I99" s="11">
        <v>0</v>
      </c>
      <c r="J99" s="11">
        <v>0</v>
      </c>
      <c r="K99" s="11">
        <v>0</v>
      </c>
      <c r="L99" s="12">
        <v>0</v>
      </c>
      <c r="M99" s="10" t="s">
        <v>50</v>
      </c>
      <c r="O99" s="10">
        <v>0</v>
      </c>
      <c r="Q99" s="10" t="s">
        <v>33</v>
      </c>
      <c r="S99" s="10" t="s">
        <v>30</v>
      </c>
      <c r="T99" s="10">
        <v>11</v>
      </c>
      <c r="U99" s="10" t="s">
        <v>21</v>
      </c>
    </row>
    <row r="100" spans="1:21" x14ac:dyDescent="0.25">
      <c r="A100" s="10" t="s">
        <v>49</v>
      </c>
      <c r="B100" s="10" t="s">
        <v>34</v>
      </c>
      <c r="E100" s="11">
        <v>-4800</v>
      </c>
      <c r="F100" s="11">
        <v>-4800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2">
        <v>0</v>
      </c>
      <c r="M100" s="10" t="s">
        <v>50</v>
      </c>
      <c r="O100" s="10">
        <v>0</v>
      </c>
      <c r="Q100" s="10" t="s">
        <v>33</v>
      </c>
      <c r="S100" s="10" t="s">
        <v>30</v>
      </c>
      <c r="T100" s="10">
        <v>11</v>
      </c>
      <c r="U100" s="10" t="s">
        <v>22</v>
      </c>
    </row>
    <row r="101" spans="1:21" x14ac:dyDescent="0.25">
      <c r="A101" s="10" t="s">
        <v>51</v>
      </c>
      <c r="B101" s="10" t="s">
        <v>34</v>
      </c>
      <c r="E101" s="11">
        <v>-19000</v>
      </c>
      <c r="F101" s="11">
        <v>-19000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2">
        <v>0</v>
      </c>
      <c r="M101" s="10" t="s">
        <v>50</v>
      </c>
      <c r="O101" s="10">
        <v>0</v>
      </c>
      <c r="Q101" s="10" t="s">
        <v>33</v>
      </c>
      <c r="S101" s="10" t="s">
        <v>30</v>
      </c>
      <c r="T101" s="10">
        <v>11</v>
      </c>
      <c r="U101" s="10" t="s">
        <v>22</v>
      </c>
    </row>
    <row r="102" spans="1:21" x14ac:dyDescent="0.25">
      <c r="A102" s="10" t="s">
        <v>49</v>
      </c>
      <c r="B102" s="10" t="s">
        <v>35</v>
      </c>
      <c r="E102" s="11">
        <v>2401696.4500000002</v>
      </c>
      <c r="F102" s="11">
        <v>2280066.4500000002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2">
        <v>0</v>
      </c>
      <c r="M102" s="10" t="s">
        <v>50</v>
      </c>
      <c r="O102" s="10">
        <v>0</v>
      </c>
      <c r="Q102" s="10" t="s">
        <v>33</v>
      </c>
      <c r="S102" s="10" t="s">
        <v>30</v>
      </c>
      <c r="T102" s="10">
        <v>11</v>
      </c>
      <c r="U102" s="10" t="s">
        <v>22</v>
      </c>
    </row>
    <row r="103" spans="1:21" x14ac:dyDescent="0.25">
      <c r="A103" s="10" t="s">
        <v>51</v>
      </c>
      <c r="B103" s="10" t="s">
        <v>35</v>
      </c>
      <c r="E103" s="11">
        <v>3434666.29</v>
      </c>
      <c r="F103" s="11">
        <v>3188388.77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2">
        <v>0</v>
      </c>
      <c r="M103" s="10" t="s">
        <v>50</v>
      </c>
      <c r="O103" s="10">
        <v>0</v>
      </c>
      <c r="Q103" s="10" t="s">
        <v>33</v>
      </c>
      <c r="S103" s="10" t="s">
        <v>30</v>
      </c>
      <c r="T103" s="10">
        <v>11</v>
      </c>
      <c r="U103" s="10" t="s">
        <v>22</v>
      </c>
    </row>
    <row r="104" spans="1:21" x14ac:dyDescent="0.25">
      <c r="A104" s="10" t="s">
        <v>52</v>
      </c>
      <c r="B104" s="10" t="s">
        <v>35</v>
      </c>
      <c r="E104" s="11">
        <v>2727307.49</v>
      </c>
      <c r="F104" s="11">
        <v>2537038.48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2">
        <v>0</v>
      </c>
      <c r="M104" s="10" t="s">
        <v>50</v>
      </c>
      <c r="O104" s="10">
        <v>0</v>
      </c>
      <c r="Q104" s="10" t="s">
        <v>33</v>
      </c>
      <c r="S104" s="10" t="s">
        <v>30</v>
      </c>
      <c r="T104" s="10">
        <v>11</v>
      </c>
      <c r="U104" s="10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3C08-41BF-4011-9054-D92AA4EE3AB5}">
  <dimension ref="A1:K16"/>
  <sheetViews>
    <sheetView workbookViewId="0"/>
  </sheetViews>
  <sheetFormatPr baseColWidth="10" defaultRowHeight="15" x14ac:dyDescent="0.25"/>
  <cols>
    <col min="1" max="1" width="17.5703125" bestFit="1" customWidth="1"/>
    <col min="2" max="2" width="13.7109375" bestFit="1" customWidth="1"/>
    <col min="3" max="3" width="15.140625" bestFit="1" customWidth="1"/>
    <col min="4" max="4" width="16.7109375" bestFit="1" customWidth="1"/>
    <col min="5" max="5" width="18" bestFit="1" customWidth="1"/>
    <col min="6" max="6" width="15.42578125" bestFit="1" customWidth="1"/>
    <col min="7" max="7" width="15.140625" bestFit="1" customWidth="1"/>
    <col min="8" max="8" width="12.7109375" bestFit="1" customWidth="1"/>
    <col min="9" max="9" width="15.140625" bestFit="1" customWidth="1"/>
    <col min="10" max="10" width="16.7109375" bestFit="1" customWidth="1"/>
    <col min="11" max="11" width="18" bestFit="1" customWidth="1"/>
    <col min="12" max="12" width="15.42578125" bestFit="1" customWidth="1"/>
    <col min="13" max="13" width="15.140625" bestFit="1" customWidth="1"/>
    <col min="14" max="14" width="12.7109375" bestFit="1" customWidth="1"/>
    <col min="15" max="15" width="15.140625" bestFit="1" customWidth="1"/>
    <col min="16" max="16" width="16.7109375" bestFit="1" customWidth="1"/>
    <col min="17" max="17" width="18" bestFit="1" customWidth="1"/>
    <col min="18" max="18" width="15.42578125" bestFit="1" customWidth="1"/>
    <col min="19" max="19" width="15.140625" bestFit="1" customWidth="1"/>
    <col min="20" max="20" width="12.7109375" bestFit="1" customWidth="1"/>
    <col min="21" max="21" width="15.140625" bestFit="1" customWidth="1"/>
    <col min="22" max="22" width="16.7109375" bestFit="1" customWidth="1"/>
    <col min="23" max="23" width="18" bestFit="1" customWidth="1"/>
    <col min="24" max="24" width="15.42578125" bestFit="1" customWidth="1"/>
    <col min="25" max="25" width="15.140625" bestFit="1" customWidth="1"/>
    <col min="26" max="26" width="12.7109375" bestFit="1" customWidth="1"/>
    <col min="27" max="27" width="15.140625" bestFit="1" customWidth="1"/>
    <col min="28" max="28" width="16.7109375" bestFit="1" customWidth="1"/>
    <col min="29" max="29" width="18" bestFit="1" customWidth="1"/>
    <col min="30" max="30" width="15.42578125" bestFit="1" customWidth="1"/>
    <col min="31" max="31" width="15.140625" bestFit="1" customWidth="1"/>
    <col min="32" max="32" width="12.7109375" bestFit="1" customWidth="1"/>
    <col min="33" max="33" width="15.140625" bestFit="1" customWidth="1"/>
    <col min="34" max="34" width="16.7109375" bestFit="1" customWidth="1"/>
    <col min="35" max="35" width="18" bestFit="1" customWidth="1"/>
    <col min="36" max="36" width="15.42578125" bestFit="1" customWidth="1"/>
    <col min="37" max="37" width="15.140625" bestFit="1" customWidth="1"/>
    <col min="38" max="38" width="12.7109375" bestFit="1" customWidth="1"/>
    <col min="39" max="39" width="15.140625" bestFit="1" customWidth="1"/>
    <col min="40" max="40" width="16.7109375" bestFit="1" customWidth="1"/>
    <col min="41" max="41" width="18" bestFit="1" customWidth="1"/>
    <col min="42" max="42" width="15.42578125" bestFit="1" customWidth="1"/>
    <col min="43" max="43" width="15.140625" bestFit="1" customWidth="1"/>
    <col min="44" max="44" width="12.7109375" bestFit="1" customWidth="1"/>
    <col min="45" max="45" width="15.140625" bestFit="1" customWidth="1"/>
    <col min="46" max="46" width="16.7109375" bestFit="1" customWidth="1"/>
    <col min="47" max="47" width="18" bestFit="1" customWidth="1"/>
    <col min="48" max="48" width="15.42578125" bestFit="1" customWidth="1"/>
    <col min="49" max="49" width="15.140625" bestFit="1" customWidth="1"/>
    <col min="50" max="50" width="12.7109375" bestFit="1" customWidth="1"/>
    <col min="51" max="51" width="15.140625" bestFit="1" customWidth="1"/>
    <col min="52" max="52" width="16.7109375" bestFit="1" customWidth="1"/>
    <col min="53" max="53" width="18" bestFit="1" customWidth="1"/>
    <col min="54" max="54" width="15.42578125" bestFit="1" customWidth="1"/>
    <col min="55" max="55" width="15.140625" bestFit="1" customWidth="1"/>
    <col min="56" max="56" width="12.7109375" bestFit="1" customWidth="1"/>
    <col min="57" max="57" width="15.140625" bestFit="1" customWidth="1"/>
    <col min="58" max="58" width="16.7109375" bestFit="1" customWidth="1"/>
    <col min="59" max="59" width="18" bestFit="1" customWidth="1"/>
    <col min="60" max="60" width="15.42578125" bestFit="1" customWidth="1"/>
    <col min="61" max="61" width="15.140625" bestFit="1" customWidth="1"/>
    <col min="62" max="62" width="17.7109375" bestFit="1" customWidth="1"/>
    <col min="63" max="63" width="20.140625" bestFit="1" customWidth="1"/>
    <col min="64" max="64" width="21.7109375" bestFit="1" customWidth="1"/>
    <col min="65" max="65" width="23" bestFit="1" customWidth="1"/>
    <col min="66" max="66" width="20.42578125" bestFit="1" customWidth="1"/>
    <col min="67" max="67" width="20.140625" bestFit="1" customWidth="1"/>
  </cols>
  <sheetData>
    <row r="1" spans="1:11" x14ac:dyDescent="0.25">
      <c r="J1" t="s">
        <v>31</v>
      </c>
    </row>
    <row r="2" spans="1:11" x14ac:dyDescent="0.25">
      <c r="J2" t="str">
        <f>GENERAL!A2</f>
        <v>00-03-25</v>
      </c>
      <c r="K2">
        <f>MAX(GENERAL!A:A)</f>
        <v>0</v>
      </c>
    </row>
    <row r="3" spans="1:11" x14ac:dyDescent="0.25">
      <c r="A3" s="5" t="s">
        <v>40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</row>
    <row r="4" spans="1:11" x14ac:dyDescent="0.25">
      <c r="A4" s="6">
        <v>20250501</v>
      </c>
      <c r="B4" s="9">
        <v>106579698.77999997</v>
      </c>
      <c r="C4">
        <v>90354585.890000015</v>
      </c>
      <c r="D4">
        <v>67693840.079999998</v>
      </c>
      <c r="E4">
        <v>21995276.02</v>
      </c>
      <c r="F4">
        <v>-1342322.05</v>
      </c>
      <c r="G4">
        <v>13161778.57</v>
      </c>
    </row>
    <row r="5" spans="1:11" x14ac:dyDescent="0.25">
      <c r="A5" s="7" t="s">
        <v>28</v>
      </c>
      <c r="B5" s="9">
        <v>3962749.9699999997</v>
      </c>
      <c r="C5">
        <v>2887783.96</v>
      </c>
      <c r="D5">
        <v>2922644.45</v>
      </c>
      <c r="E5">
        <v>824348</v>
      </c>
      <c r="F5">
        <v>-28060.01</v>
      </c>
      <c r="G5">
        <v>0</v>
      </c>
    </row>
    <row r="6" spans="1:11" x14ac:dyDescent="0.25">
      <c r="A6" s="7" t="s">
        <v>24</v>
      </c>
      <c r="B6" s="9">
        <v>22466509.749999996</v>
      </c>
      <c r="C6">
        <v>20558693.960000001</v>
      </c>
      <c r="D6">
        <v>15556874.310000001</v>
      </c>
      <c r="E6">
        <v>3296154</v>
      </c>
      <c r="F6">
        <v>-67725</v>
      </c>
      <c r="G6">
        <v>3600498.47</v>
      </c>
    </row>
    <row r="7" spans="1:11" x14ac:dyDescent="0.25">
      <c r="A7" s="7" t="s">
        <v>23</v>
      </c>
      <c r="B7" s="9">
        <v>10623018.42</v>
      </c>
      <c r="C7">
        <v>8076341.6899999995</v>
      </c>
      <c r="D7">
        <v>5652059.2300000004</v>
      </c>
      <c r="E7">
        <v>5012418</v>
      </c>
      <c r="F7">
        <v>-64295.08</v>
      </c>
      <c r="G7">
        <v>4677717.0999999996</v>
      </c>
    </row>
    <row r="8" spans="1:11" x14ac:dyDescent="0.25">
      <c r="A8" s="7" t="s">
        <v>20</v>
      </c>
      <c r="B8" s="9">
        <v>7256162.96</v>
      </c>
      <c r="C8">
        <v>6848169.5099999998</v>
      </c>
      <c r="D8">
        <v>1893979.21</v>
      </c>
      <c r="E8">
        <v>780948</v>
      </c>
      <c r="F8">
        <v>-228943.89</v>
      </c>
      <c r="G8">
        <v>68850</v>
      </c>
    </row>
    <row r="9" spans="1:11" x14ac:dyDescent="0.25">
      <c r="A9" s="7" t="s">
        <v>26</v>
      </c>
      <c r="B9" s="9">
        <v>22924420.239999998</v>
      </c>
      <c r="C9">
        <v>23338684.379999999</v>
      </c>
      <c r="D9">
        <v>11969160.43</v>
      </c>
      <c r="E9">
        <v>4584044.0199999996</v>
      </c>
      <c r="F9">
        <v>-580400.99</v>
      </c>
      <c r="G9">
        <v>4159444.93</v>
      </c>
    </row>
    <row r="10" spans="1:11" x14ac:dyDescent="0.25">
      <c r="A10" s="7" t="s">
        <v>25</v>
      </c>
      <c r="B10" s="9">
        <v>11299060.960000001</v>
      </c>
      <c r="C10">
        <v>10788084.68</v>
      </c>
      <c r="D10">
        <v>3804689.8</v>
      </c>
      <c r="E10">
        <v>2050190</v>
      </c>
      <c r="F10">
        <v>-89280.04</v>
      </c>
      <c r="G10">
        <v>0</v>
      </c>
    </row>
    <row r="11" spans="1:11" x14ac:dyDescent="0.25">
      <c r="A11" s="7" t="s">
        <v>30</v>
      </c>
      <c r="B11" s="9">
        <v>12894632.5</v>
      </c>
      <c r="C11">
        <v>5847123.1799999997</v>
      </c>
      <c r="D11">
        <v>14353968.859999999</v>
      </c>
      <c r="E11">
        <v>806234</v>
      </c>
      <c r="F11">
        <v>-190269.01</v>
      </c>
      <c r="G11">
        <v>579118.06000000006</v>
      </c>
    </row>
    <row r="12" spans="1:11" x14ac:dyDescent="0.25">
      <c r="A12" s="7" t="s">
        <v>27</v>
      </c>
      <c r="B12" s="9">
        <v>3918767.99</v>
      </c>
      <c r="C12">
        <v>2297745.1500000004</v>
      </c>
      <c r="D12">
        <v>2752699.5900000003</v>
      </c>
      <c r="E12">
        <v>1039698</v>
      </c>
      <c r="F12">
        <v>-52183</v>
      </c>
      <c r="G12">
        <v>76150.009999999995</v>
      </c>
    </row>
    <row r="13" spans="1:11" x14ac:dyDescent="0.25">
      <c r="A13" s="7" t="s">
        <v>29</v>
      </c>
      <c r="B13" s="9">
        <v>11234375.990000002</v>
      </c>
      <c r="C13">
        <v>9711959.3800000008</v>
      </c>
      <c r="D13">
        <v>8787764.1999999993</v>
      </c>
      <c r="E13">
        <v>3601242</v>
      </c>
      <c r="F13">
        <v>-41165.03</v>
      </c>
      <c r="G13">
        <v>0</v>
      </c>
    </row>
    <row r="14" spans="1:11" x14ac:dyDescent="0.25">
      <c r="A14" s="6" t="s">
        <v>41</v>
      </c>
      <c r="B14" s="9"/>
    </row>
    <row r="15" spans="1:11" x14ac:dyDescent="0.25">
      <c r="A15" s="7" t="s">
        <v>41</v>
      </c>
      <c r="B15" s="9"/>
    </row>
    <row r="16" spans="1:11" x14ac:dyDescent="0.25">
      <c r="A16" s="6" t="s">
        <v>42</v>
      </c>
      <c r="B16" s="9">
        <v>106579698.77999997</v>
      </c>
      <c r="C16">
        <v>90354585.890000015</v>
      </c>
      <c r="D16">
        <v>67693840.079999998</v>
      </c>
      <c r="E16">
        <v>21995276.02</v>
      </c>
      <c r="F16">
        <v>-1342322.05</v>
      </c>
      <c r="G16">
        <v>13161778.57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GENERAL</vt:lpstr>
      <vt:lpstr>Hoja1</vt:lpstr>
      <vt:lpstr>GENERAL!CsrAuxHoja_2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Villarreal</dc:creator>
  <cp:lastModifiedBy>Marcos Villarreal</cp:lastModifiedBy>
  <dcterms:created xsi:type="dcterms:W3CDTF">2025-05-26T23:11:48Z</dcterms:created>
  <dcterms:modified xsi:type="dcterms:W3CDTF">2025-05-27T13:42:28Z</dcterms:modified>
</cp:coreProperties>
</file>